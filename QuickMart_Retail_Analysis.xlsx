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ngad\Desktop\EXCEL\Mini QuickMart\"/>
    </mc:Choice>
  </mc:AlternateContent>
  <xr:revisionPtr revIDLastSave="0" documentId="8_{CCBE6E92-3BD9-4678-9673-941AFDBFE0F4}" xr6:coauthVersionLast="47" xr6:coauthVersionMax="47" xr10:uidLastSave="{00000000-0000-0000-0000-000000000000}"/>
  <bookViews>
    <workbookView xWindow="-120" yWindow="-120" windowWidth="29040" windowHeight="15720" xr2:uid="{DB4E7E1D-379B-49DA-8930-463052B40FAD}"/>
  </bookViews>
  <sheets>
    <sheet name="Dashboard" sheetId="7" r:id="rId1"/>
    <sheet name="Insights" sheetId="8" r:id="rId2"/>
    <sheet name="Analysis" sheetId="6" r:id="rId3"/>
    <sheet name="Pivot_City" sheetId="3" state="hidden" r:id="rId4"/>
    <sheet name="Pivot_CategoryStore" sheetId="4" state="hidden" r:id="rId5"/>
    <sheet name="Data" sheetId="2" r:id="rId6"/>
    <sheet name="Sheet1" sheetId="1" state="hidden" r:id="rId7"/>
  </sheets>
  <definedNames>
    <definedName name="ExternalData_1" localSheetId="5" hidden="1">Data!$A$1:$S$31</definedName>
    <definedName name="Slicer_Order_Status">#N/A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7" l="1"/>
  <c r="J3" i="7"/>
  <c r="G3" i="7"/>
  <c r="D3" i="7"/>
  <c r="A3" i="7"/>
  <c r="E12" i="8"/>
  <c r="E11" i="8"/>
  <c r="E10" i="8"/>
  <c r="E8" i="8"/>
  <c r="E9" i="8"/>
  <c r="E7" i="8"/>
  <c r="F15" i="6" a="1"/>
  <c r="F15" i="6" s="1"/>
  <c r="G15" i="6" s="1"/>
  <c r="H15" i="6" s="1"/>
  <c r="G16" i="6"/>
  <c r="H16" i="6" s="1"/>
  <c r="G17" i="6"/>
  <c r="H17" i="6" s="1"/>
  <c r="G18" i="6"/>
  <c r="H18" i="6" s="1"/>
  <c r="G19" i="6"/>
  <c r="H19" i="6" s="1"/>
  <c r="L3" i="6" a="1"/>
  <c r="L3" i="6" s="1"/>
  <c r="B33" i="6" s="1"/>
  <c r="C33" i="6" s="1"/>
  <c r="K3" i="6" a="1"/>
  <c r="K3" i="6" s="1"/>
  <c r="J3" i="6" a="1"/>
  <c r="J3" i="6" s="1"/>
  <c r="F30" i="6" a="1"/>
  <c r="F30" i="6" s="1"/>
  <c r="G30" i="6" s="1"/>
  <c r="G24" i="6"/>
  <c r="F23" i="6" a="1"/>
  <c r="F23" i="6" s="1"/>
  <c r="G23" i="6" s="1"/>
  <c r="B9" i="6"/>
  <c r="F10" i="6"/>
  <c r="B10" i="6" s="1"/>
  <c r="I3" i="6" a="1"/>
  <c r="I3" i="6" s="1"/>
  <c r="B12" i="6" s="1"/>
  <c r="B13" i="6" s="1"/>
  <c r="H3" i="6" a="1"/>
  <c r="H3" i="6" s="1"/>
  <c r="G3" i="6" a="1"/>
  <c r="G3" i="6" s="1"/>
  <c r="F3" i="6" a="1"/>
  <c r="F3" i="6" s="1"/>
  <c r="W2" i="2" a="1"/>
  <c r="W2" i="2" s="1"/>
  <c r="W3" i="2" a="1"/>
  <c r="W3" i="2" s="1"/>
  <c r="W4" i="2" a="1"/>
  <c r="W4" i="2" s="1"/>
  <c r="W5" i="2" a="1"/>
  <c r="W5" i="2" s="1"/>
  <c r="W6" i="2" a="1"/>
  <c r="W6" i="2" s="1"/>
  <c r="W7" i="2" a="1"/>
  <c r="W7" i="2" s="1"/>
  <c r="W8" i="2" a="1"/>
  <c r="W8" i="2" s="1"/>
  <c r="W9" i="2" a="1"/>
  <c r="W9" i="2" s="1"/>
  <c r="W10" i="2" a="1"/>
  <c r="W10" i="2" s="1"/>
  <c r="W11" i="2" a="1"/>
  <c r="W11" i="2" s="1"/>
  <c r="W12" i="2" a="1"/>
  <c r="W12" i="2" s="1"/>
  <c r="W13" i="2" a="1"/>
  <c r="W13" i="2" s="1"/>
  <c r="W14" i="2" a="1"/>
  <c r="W14" i="2" s="1"/>
  <c r="W15" i="2" a="1"/>
  <c r="W15" i="2" s="1"/>
  <c r="W16" i="2" a="1"/>
  <c r="W16" i="2" s="1"/>
  <c r="W17" i="2" a="1"/>
  <c r="W17" i="2" s="1"/>
  <c r="W18" i="2" a="1"/>
  <c r="W18" i="2" s="1"/>
  <c r="W19" i="2" a="1"/>
  <c r="W19" i="2" s="1"/>
  <c r="W20" i="2" a="1"/>
  <c r="W20" i="2" s="1"/>
  <c r="W21" i="2" a="1"/>
  <c r="W21" i="2" s="1"/>
  <c r="W22" i="2" a="1"/>
  <c r="W22" i="2" s="1"/>
  <c r="W23" i="2" a="1"/>
  <c r="W23" i="2" s="1"/>
  <c r="W24" i="2" a="1"/>
  <c r="W24" i="2" s="1"/>
  <c r="W25" i="2" a="1"/>
  <c r="W25" i="2" s="1"/>
  <c r="W26" i="2" a="1"/>
  <c r="W26" i="2" s="1"/>
  <c r="W27" i="2" a="1"/>
  <c r="W27" i="2" s="1"/>
  <c r="W28" i="2" a="1"/>
  <c r="W28" i="2" s="1"/>
  <c r="W29" i="2" a="1"/>
  <c r="W29" i="2" s="1"/>
  <c r="W30" i="2" a="1"/>
  <c r="W30" i="2" s="1"/>
  <c r="W31" i="2" a="1"/>
  <c r="W31" i="2" s="1"/>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B28" i="6" l="1"/>
  <c r="G26" i="6"/>
  <c r="B29" i="6"/>
  <c r="B34" i="6"/>
  <c r="C34" i="6" s="1"/>
  <c r="G25" i="6"/>
  <c r="B21" i="6" s="1"/>
  <c r="C21" i="6" s="1"/>
  <c r="B11" i="6"/>
  <c r="G32" i="6"/>
  <c r="G31" i="6"/>
  <c r="B22" i="6" s="1"/>
  <c r="C22" i="6" s="1"/>
  <c r="G10" i="6"/>
  <c r="B26" i="6"/>
  <c r="C26" i="6" s="1"/>
  <c r="H10" i="6"/>
  <c r="B14" i="6"/>
  <c r="B15" i="6" s="1"/>
  <c r="B27" i="6"/>
  <c r="C27" i="6" s="1"/>
  <c r="B20" i="6" l="1"/>
  <c r="C20" i="6" s="1"/>
  <c r="B19" i="6"/>
  <c r="C19"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386036-0DF0-4C80-ABE1-1B10F29EBC83}"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<sst xmlns="http://schemas.openxmlformats.org/spreadsheetml/2006/main" count="433" uniqueCount="198">
  <si>
    <t>Order_ID,Order_Date,City,State,Store_Type,Customer_ID,Gender,Age,Product_Category,Product_Name,Quantity,Unit_Price,Discount_%,Payment_Method,Order_Status</t>
  </si>
  <si>
    <t>1001,01-01-2024,Delhi,Delhi,Mall,C101,Male,25,Electronics,Headphones,2,1500,10,UPI,Delivered</t>
  </si>
  <si>
    <t>1002,02-01-2024,Mumbai,Maharashtra,Online,C102,Female,32,Fashion,T-Shirt,3,800,5,Card,Delivered</t>
  </si>
  <si>
    <t>1003,03-01-2024,Bangalore,Karnataka,High Street,C103,Male,45,Grocery,Rice Bag,1,1200,0,Cash,Delivered</t>
  </si>
  <si>
    <t>1004,03-01-2024,Delhi,Delhi,Online,C104,Female,29,Electronics,Smart Watch,1,5000,15,UPI,Returned</t>
  </si>
  <si>
    <t>1005,04-01-2024,Chennai,Tamil Nadu,Mall,C105,Male,38,Fashion,Shoes,2,2500,20,Card,Delivered</t>
  </si>
  <si>
    <t>1006,05-01-2024,Mumbai,Maharashtra,Online,C106,Female,22,Beauty,Lipstick,4,600,5,Wallet,Cancelled</t>
  </si>
  <si>
    <t>1007,06-01-2024,Kolkata,West Bengal,High Street,C107,Male,30,Grocery,Cooking Oil,3,180,0,Cash,Delivered</t>
  </si>
  <si>
    <t>1008,07-01-2024,Delhi,Delhi,Mall,C108,Female,41,Electronics,Speaker,1,3500,10,UPI,Delivered</t>
  </si>
  <si>
    <t>1009,08-01-2024,Bangalore,Karnataka,Online,C109,Male,27,Fashion,Jeans,2,2200,5,Card,Delivered</t>
  </si>
  <si>
    <t>1010,09-01-2024,Chennai,Tamil Nadu,Mall,C110,Female,35,Grocery,Wheat Flour,5,450,0,Cash,Delivered</t>
  </si>
  <si>
    <t>1011,10-01-2024,Mumbai,Maharashtra,High Street,C111,Male,28,Electronics,Power Bank,3,1200,10,UPI,Delivered</t>
  </si>
  <si>
    <t>1012,11-01-2024,Kolkata,West Bengal,Online,C112,Female,24,Beauty,Face Wash,2,300,5,Wallet,Delivered</t>
  </si>
  <si>
    <t>1013,12-01-2024,Delhi,Delhi,Online,C113,Male,33,Fashion,Jacket,1,4000,25,Card,Returned</t>
  </si>
  <si>
    <t>1014,13-01-2024,Bangalore,Karnataka,Mall,C114,Female,26,Electronics,Tablet,1,15000,10,UPI,Delivered</t>
  </si>
  <si>
    <t>1015,14-01-2024,Chennai,Tamil Nadu,High Street,C115,Male,40,Grocery,Sugar,4,50,0,Cash,Delivered</t>
  </si>
  <si>
    <t>1016,15-01-2024,Mumbai,Maharashtra,Mall,C116,Female,31,Fashion,Handbag,1,3500,15,Card,Delivered</t>
  </si>
  <si>
    <t>1017,16-01-2024,Delhi,Delhi,Online,C117,Male,23,Beauty,Perfume,1,2800,5,Wallet,Delivered</t>
  </si>
  <si>
    <t>1018,17-01-2024,Kolkata,West Bengal,Mall,C118,Female,42,Electronics,Air Fryer,1,9000,20,UPI,Delivered</t>
  </si>
  <si>
    <t>1019,18-01-2024,Bangalore,Karnataka,High Street,C119,Male,37,Grocery,Pulses,3,150,0,Cash,Delivered</t>
  </si>
  <si>
    <t>1020,19-01-2024,Chennai,Tamil Nadu,Online,C120,Female,29,Fashion,Top,2,1200,10,Card,Cancelled</t>
  </si>
  <si>
    <t>1021,20-01-2024,Delhi,Delhi,Mall,C121,Male,34,Electronics,Mouse,2,700,5,UPI,Delivered</t>
  </si>
  <si>
    <t>1022,21-01-2024,Mumbai,Maharashtra,High Street,C122,Female,27,Beauty,Shampoo,3,450,10,Wallet,Delivered</t>
  </si>
  <si>
    <t>1023,22-01-2024,Kolkata,West Bengal,Online,C123,Male,46,Grocery,Tea Pack,2,300,0,Cash,Delivered</t>
  </si>
  <si>
    <t>1024,23-01-2024,Bangalore,Karnataka,Mall,C124,Female,36,Electronics,Keyboard,1,1800,5,Card,Delivered</t>
  </si>
  <si>
    <t>1025,24-01-2024,Chennai,Tamil Nadu,Mall,C125,Male,39,Fashion,Belt,2,900,10,UPI,Delivered</t>
  </si>
  <si>
    <t>1026,25-01-2024,Mumbai,Maharashtra,Online,C126,Female,21,Beauty,Nail Polish,5,200,5,Wallet,Delivered</t>
  </si>
  <si>
    <t>1027,26-01-2024,Delhi,Delhi,High Street,C127,Male,44,Grocery,Atta,3,400,0,Cash,Delivered</t>
  </si>
  <si>
    <t>1028,27-01-2024,Kolkata,West Bengal,Online,C128,Female,28,Fashion,Saree,1,6000,15,Card,Returned</t>
  </si>
  <si>
    <t>1029,28-01-2024,Bangalore,Karnataka,Mall,C129,Male,32,Electronics,Monitor,1,12000,10,UPI,Delivered</t>
  </si>
  <si>
    <t>1030,29-01-2024,Chennai,Tamil Nadu,High Street,C130,Female,30,Grocery,Spices,4,250,0,Cash,Delivered</t>
  </si>
  <si>
    <t>Column1</t>
  </si>
  <si>
    <t>Order_ID</t>
  </si>
  <si>
    <t>Order_Date</t>
  </si>
  <si>
    <t>City</t>
  </si>
  <si>
    <t>State</t>
  </si>
  <si>
    <t>Store_Type</t>
  </si>
  <si>
    <t>Customer_ID</t>
  </si>
  <si>
    <t>Gender</t>
  </si>
  <si>
    <t>Age</t>
  </si>
  <si>
    <t>Product_Category</t>
  </si>
  <si>
    <t>Product_Name</t>
  </si>
  <si>
    <t>Quantity</t>
  </si>
  <si>
    <t>Unit_Price</t>
  </si>
  <si>
    <t>Discount_%</t>
  </si>
  <si>
    <t>Payment_Method</t>
  </si>
  <si>
    <t>Order_Status</t>
  </si>
  <si>
    <t>Revenue</t>
  </si>
  <si>
    <t>Discount_Amount</t>
  </si>
  <si>
    <t>Net_Revenue</t>
  </si>
  <si>
    <t>Age_Group</t>
  </si>
  <si>
    <t>Delhi</t>
  </si>
  <si>
    <t>Mall</t>
  </si>
  <si>
    <t>C101</t>
  </si>
  <si>
    <t>Male</t>
  </si>
  <si>
    <t>Electronics</t>
  </si>
  <si>
    <t>Headphones</t>
  </si>
  <si>
    <t>UPI</t>
  </si>
  <si>
    <t>Delivered</t>
  </si>
  <si>
    <t>Adult</t>
  </si>
  <si>
    <t>Mumbai</t>
  </si>
  <si>
    <t>Maharashtra</t>
  </si>
  <si>
    <t>Online</t>
  </si>
  <si>
    <t>C102</t>
  </si>
  <si>
    <t>Female</t>
  </si>
  <si>
    <t>Fashion</t>
  </si>
  <si>
    <t>T-Shirt</t>
  </si>
  <si>
    <t>Card</t>
  </si>
  <si>
    <t>Bangalore</t>
  </si>
  <si>
    <t>Karnataka</t>
  </si>
  <si>
    <t>High Street</t>
  </si>
  <si>
    <t>C103</t>
  </si>
  <si>
    <t>Grocery</t>
  </si>
  <si>
    <t>Rice Bag</t>
  </si>
  <si>
    <t>Cash</t>
  </si>
  <si>
    <t>Senior</t>
  </si>
  <si>
    <t>C104</t>
  </si>
  <si>
    <t>Smart Watch</t>
  </si>
  <si>
    <t>Returned</t>
  </si>
  <si>
    <t>Chennai</t>
  </si>
  <si>
    <t>Tamil Nadu</t>
  </si>
  <si>
    <t>C105</t>
  </si>
  <si>
    <t>Shoes</t>
  </si>
  <si>
    <t>C106</t>
  </si>
  <si>
    <t>Beauty</t>
  </si>
  <si>
    <t>Lipstick</t>
  </si>
  <si>
    <t>Wallet</t>
  </si>
  <si>
    <t>Cancelled</t>
  </si>
  <si>
    <t>Young</t>
  </si>
  <si>
    <t>Kolkata</t>
  </si>
  <si>
    <t>West Bengal</t>
  </si>
  <si>
    <t>C107</t>
  </si>
  <si>
    <t>Cooking Oil</t>
  </si>
  <si>
    <t>C108</t>
  </si>
  <si>
    <t>Speaker</t>
  </si>
  <si>
    <t>C109</t>
  </si>
  <si>
    <t>Jeans</t>
  </si>
  <si>
    <t>C110</t>
  </si>
  <si>
    <t>Wheat Flour</t>
  </si>
  <si>
    <t>C111</t>
  </si>
  <si>
    <t>Power Bank</t>
  </si>
  <si>
    <t>C112</t>
  </si>
  <si>
    <t>Face Wash</t>
  </si>
  <si>
    <t>C113</t>
  </si>
  <si>
    <t>Jacket</t>
  </si>
  <si>
    <t>C114</t>
  </si>
  <si>
    <t>Tablet</t>
  </si>
  <si>
    <t>C115</t>
  </si>
  <si>
    <t>Sugar</t>
  </si>
  <si>
    <t>C116</t>
  </si>
  <si>
    <t>Handbag</t>
  </si>
  <si>
    <t>C117</t>
  </si>
  <si>
    <t>Perfume</t>
  </si>
  <si>
    <t>C118</t>
  </si>
  <si>
    <t>Air Fryer</t>
  </si>
  <si>
    <t>C119</t>
  </si>
  <si>
    <t>Pulses</t>
  </si>
  <si>
    <t>C120</t>
  </si>
  <si>
    <t>Top</t>
  </si>
  <si>
    <t>C121</t>
  </si>
  <si>
    <t>Mouse</t>
  </si>
  <si>
    <t>C122</t>
  </si>
  <si>
    <t>Shampoo</t>
  </si>
  <si>
    <t>C123</t>
  </si>
  <si>
    <t>Tea Pack</t>
  </si>
  <si>
    <t>C124</t>
  </si>
  <si>
    <t>Keyboard</t>
  </si>
  <si>
    <t>C125</t>
  </si>
  <si>
    <t>Belt</t>
  </si>
  <si>
    <t>C126</t>
  </si>
  <si>
    <t>Nail Polish</t>
  </si>
  <si>
    <t>C127</t>
  </si>
  <si>
    <t>Atta</t>
  </si>
  <si>
    <t>C128</t>
  </si>
  <si>
    <t>Saree</t>
  </si>
  <si>
    <t>C129</t>
  </si>
  <si>
    <t>Monitor</t>
  </si>
  <si>
    <t>C130</t>
  </si>
  <si>
    <t>Spices</t>
  </si>
  <si>
    <t>Payment_Category</t>
  </si>
  <si>
    <t>Order_Flag</t>
  </si>
  <si>
    <t>Row Labels</t>
  </si>
  <si>
    <t>Grand Total</t>
  </si>
  <si>
    <t>Sum of Net_Revenue</t>
  </si>
  <si>
    <t>(All)</t>
  </si>
  <si>
    <t>AOV</t>
  </si>
  <si>
    <t>High_Value_Order</t>
  </si>
  <si>
    <t>Discount_Level IFS</t>
  </si>
  <si>
    <t>UNIQUE CITIES</t>
  </si>
  <si>
    <t>Unique Product Categoies</t>
  </si>
  <si>
    <t>Store Types</t>
  </si>
  <si>
    <t>Order Status</t>
  </si>
  <si>
    <t>Total Delivered Orders</t>
  </si>
  <si>
    <t>Total Cancelled Orders</t>
  </si>
  <si>
    <t>Total Orders</t>
  </si>
  <si>
    <t>REVENUE PER CITY</t>
  </si>
  <si>
    <t>CITY</t>
  </si>
  <si>
    <t>REVENUE</t>
  </si>
  <si>
    <t>Delivered Revenue</t>
  </si>
  <si>
    <t>QuickMart Retail Analysis</t>
  </si>
  <si>
    <t>Time period: Jan 2024</t>
  </si>
  <si>
    <t>Tools: Power Query + Excel formulas + PivotTables</t>
  </si>
  <si>
    <t>1. Revenue Summary</t>
  </si>
  <si>
    <t>Total Net Revenue</t>
  </si>
  <si>
    <t>Realized Revenue %</t>
  </si>
  <si>
    <t>Revenue Lost (Cancelled + Returned)</t>
  </si>
  <si>
    <t>% Revenue Lost</t>
  </si>
  <si>
    <t>2. Performance Breakdown</t>
  </si>
  <si>
    <t>Top City + Revenue</t>
  </si>
  <si>
    <t>Lowest City + Revenue</t>
  </si>
  <si>
    <t>Best Category + Revenue</t>
  </si>
  <si>
    <t>Best Store Type + Revenue (from pivot totals or SUMIFS table)</t>
  </si>
  <si>
    <t>3. Risk / Ops Metrics</t>
  </si>
  <si>
    <t>Cancelled Orders count + %</t>
  </si>
  <si>
    <t>Returned Orders count + %</t>
  </si>
  <si>
    <t>High Value Orders count</t>
  </si>
  <si>
    <t>High Discount Revenue</t>
  </si>
  <si>
    <t>4. Supporting Tables</t>
  </si>
  <si>
    <t>AOV (Average of Order)</t>
  </si>
  <si>
    <t>Revenue Per Category</t>
  </si>
  <si>
    <t>Category</t>
  </si>
  <si>
    <t>Store Type</t>
  </si>
  <si>
    <t>Revenue Per Store Type</t>
  </si>
  <si>
    <t>Order Types</t>
  </si>
  <si>
    <t>Discount Levels</t>
  </si>
  <si>
    <t>Payment Behavior Analysis</t>
  </si>
  <si>
    <t>Net Revenue – Digital</t>
  </si>
  <si>
    <t>Net Revenue – Cash</t>
  </si>
  <si>
    <t>Revenue Contribution %</t>
  </si>
  <si>
    <t>Executive Summary</t>
  </si>
  <si>
    <t>QuickMart Retail Performance – Jan 2024</t>
  </si>
  <si>
    <t>Average Order Value (AOV)</t>
  </si>
  <si>
    <t>Cancellation Rate</t>
  </si>
  <si>
    <t>Realized Revenue (Delivered Only)</t>
  </si>
  <si>
    <t>Key Business Insights</t>
  </si>
  <si>
    <t>Observations</t>
  </si>
  <si>
    <t>Revenue Lost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</si>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</sst>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_(&quot;$&quot;* #,##0_);_(&quot;$&quot;* \(#,##0\);_(&quot;$&quot;*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b/>
      <sz val="13.5"/>
      <color theme="1"/>
      <name val="Calibri"/>
      <family val="2"/>
      <scheme val="minor"/>
    </font>
    <font>
      <b/>
      <sz val="22"/>
      <color theme="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rgb="FFF6C09C"/>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left" vertical="center" indent="1"/>
    </xf>
    <xf numFmtId="0" fontId="2" fillId="0" borderId="0" xfId="0" applyFont="1"/>
    <xf numFmtId="0" fontId="0" fillId="0" borderId="0" xfId="0" applyAlignment="1">
      <alignment wrapText="1"/>
    </xf>
    <xf numFmtId="165" fontId="0" fillId="0" borderId="0" xfId="1" applyNumberFormat="1" applyFont="1"/>
    <xf numFmtId="0" fontId="4" fillId="0" borderId="0" xfId="0" applyFont="1"/>
    <xf numFmtId="0" fontId="2" fillId="0" borderId="0" xfId="0" applyFont="1" applyAlignment="1">
      <alignment horizontal="center" vertical="center"/>
    </xf>
    <xf numFmtId="0" fontId="2" fillId="0" borderId="0" xfId="0" applyFont="1" applyAlignment="1">
      <alignment horizontal="center" vertical="center" wrapText="1"/>
    </xf>
    <xf numFmtId="0" fontId="0" fillId="3" borderId="0" xfId="0" applyFill="1"/>
    <xf numFmtId="165" fontId="0" fillId="3" borderId="0" xfId="1" applyNumberFormat="1" applyFont="1" applyFill="1"/>
    <xf numFmtId="9" fontId="0" fillId="3" borderId="0" xfId="2" applyFont="1" applyFill="1"/>
    <xf numFmtId="0" fontId="2" fillId="3" borderId="0" xfId="0" applyFont="1" applyFill="1"/>
    <xf numFmtId="165" fontId="0" fillId="3" borderId="0" xfId="0" applyNumberFormat="1" applyFill="1"/>
    <xf numFmtId="0" fontId="0" fillId="3" borderId="0" xfId="0" applyFill="1" applyAlignment="1">
      <alignment horizontal="left" vertical="center" indent="1"/>
    </xf>
    <xf numFmtId="0" fontId="2" fillId="4" borderId="0" xfId="0" applyFont="1" applyFill="1"/>
    <xf numFmtId="0" fontId="0" fillId="4" borderId="0" xfId="0" applyFill="1"/>
    <xf numFmtId="165" fontId="0" fillId="4" borderId="0" xfId="1" applyNumberFormat="1" applyFont="1" applyFill="1"/>
    <xf numFmtId="9" fontId="0" fillId="4" borderId="0" xfId="2" applyFont="1" applyFill="1"/>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3" fillId="5" borderId="0" xfId="0" applyFont="1" applyFill="1" applyAlignment="1">
      <alignment horizontal="left" vertical="center"/>
    </xf>
    <xf numFmtId="0" fontId="7" fillId="0" borderId="0" xfId="0" applyFont="1" applyAlignment="1">
      <alignment vertical="center"/>
    </xf>
    <xf numFmtId="165" fontId="6" fillId="0" borderId="0" xfId="1" applyNumberFormat="1" applyFont="1"/>
    <xf numFmtId="0" fontId="6" fillId="0" borderId="0" xfId="0" applyFont="1"/>
    <xf numFmtId="9" fontId="6" fillId="0" borderId="0" xfId="0" applyNumberFormat="1" applyFont="1"/>
    <xf numFmtId="0" fontId="8" fillId="6" borderId="0" xfId="0" applyFont="1" applyFill="1" applyAlignment="1">
      <alignment horizontal="center" vertical="center"/>
    </xf>
    <xf numFmtId="0" fontId="7" fillId="0" borderId="0" xfId="0" applyFont="1" applyAlignment="1">
      <alignment horizontal="center" vertical="center"/>
    </xf>
    <xf numFmtId="0" fontId="2" fillId="0" borderId="0" xfId="0" applyFont="1" applyAlignment="1">
      <alignment horizontal="left" vertical="center"/>
    </xf>
    <xf numFmtId="0" fontId="3" fillId="2" borderId="0" xfId="0" applyFont="1" applyFill="1" applyAlignment="1">
      <alignment horizontal="center" vertical="center"/>
    </xf>
    <xf numFmtId="165" fontId="5" fillId="2" borderId="0" xfId="1" applyNumberFormat="1" applyFont="1" applyFill="1" applyAlignment="1">
      <alignment horizontal="center" vertical="center"/>
    </xf>
    <xf numFmtId="0" fontId="5" fillId="2" borderId="0" xfId="1" applyNumberFormat="1" applyFont="1" applyFill="1" applyAlignment="1">
      <alignment horizontal="center" vertical="center"/>
    </xf>
    <xf numFmtId="9" fontId="5" fillId="2" borderId="0" xfId="2" applyFont="1" applyFill="1" applyAlignment="1">
      <alignment horizontal="center" vertical="center"/>
    </xf>
  </cellXfs>
  <cellStyles count="3">
    <cellStyle name="Currency" xfId="1" builtinId="4"/>
    <cellStyle name="Normal" xfId="0" builtinId="0"/>
    <cellStyle name="Percent" xfId="2" builtinId="5"/>
  </cellStyles>
  <dxfs count="19">
    <dxf>
      <numFmt numFmtId="0" formatCode="General"/>
    </dxf>
    <dxf>
      <numFmt numFmtId="0" formatCode="General"/>
    </dxf>
    <dxf>
      <numFmt numFmtId="0" formatCode="General"/>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5" formatCode="_(&quot;$&quot;* #,##0_);_(&quot;$&quot;* \(#,##0\);_(&quot;$&quot;* &quot;-&quot;??_);_(@_)"/>
    </dxf>
  </dxfs>
  <tableStyles count="0" defaultTableStyle="TableStyleMedium2" defaultPivotStyle="PivotStyleLight16"/>
  <colors>
    <mruColors>
      <color rgb="FFF6C0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[QuickMart_Retail_Analysis.xlsx]Pivot_City!PivotTable1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Net Revenue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Pivot_City!$A$4:$A$9</c:f>
              <c:strCache>
                <c:ptCount val="5"/>
                <c:pt idx="0">
                  <c:v>Bangalore</c:v>
                </c:pt>
                <c:pt idx="1">
                  <c:v>Delhi</c:v>
                </c:pt>
                <c:pt idx="2">
                  <c:v>Kolkata</c:v>
                </c:pt>
                <c:pt idx="3">
                  <c:v>Mumbai</c:v>
                </c:pt>
                <c:pt idx="4">
                  <c:v>Chennai</c:v>
                </c:pt>
              </c:strCache>
            </c:strRef>
          </c:cat>
          <c:val>
            <c:numRef>
              <c:f>Pivot_City!$B$4:$B$9</c:f>
              <c:numCache>
                <c:formatCode>"$"#,##0</c:formatCode>
                <c:ptCount val="5"/>
                <c:pt idx="0">
                  <c:v>31840</c:v>
                </c:pt>
                <c:pt idx="1">
                  <c:v>18290</c:v>
                </c:pt>
                <c:pt idx="2">
                  <c:v>14010</c:v>
                </c:pt>
                <c:pt idx="3">
                  <c:v>12940</c:v>
                </c:pt>
                <c:pt idx="4">
                  <c:v>11230</c:v>
                </c:pt>
              </c:numCache>
            </c:numRef>
          </c:val>
          <c:extLst>
            <c:ext xmlns:c16="http://schemas.microsoft.com/office/drawing/2014/chart" uri="{C3380CC4-5D6E-409C-BE32-E72D297353CC}">
              <c16:uniqueId val="{00000000-613E-4CE2-9DD0-CD035382C918}"/>
            </c:ext>
          </c:extLst>
        </c:ser>
        <c:dLbls>
          <c:dLblPos val="outEnd"/>
          <c:showLegendKey val="0"/>
          <c:showVal val="1"/>
          <c:showCatName val="0"/>
          <c:showSerName val="0"/>
          <c:showPercent val="0"/>
          <c:showBubbleSize val="0"/>
        </c:dLbls>
        <c:gapWidth val="219"/>
        <c:overlap val="-27"/>
        <c:axId val="94060735"/>
        <c:axId val="94044415"/>
      </c:barChart>
      <c:catAx>
        <c:axId val="9406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4415"/>
        <c:crosses val="autoZero"/>
        <c:auto val="1"/>
        <c:lblAlgn val="ctr"/>
        <c:lblOffset val="100"/>
        <c:noMultiLvlLbl val="0"/>
      </c:catAx>
      <c:valAx>
        <c:axId val="9404441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6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[QuickMart_Retail_Analysis.xlsx]Pivot_CategoryStore!PivotTable2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Pivot_CategoryStore!$B$3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Pivot_CategoryStore!$A$4:$A$8</c:f>
              <c:strCache>
                <c:ptCount val="4"/>
                <c:pt idx="0">
                  <c:v>Beauty</c:v>
                </c:pt>
                <c:pt idx="1">
                  <c:v>Electronics</c:v>
                </c:pt>
                <c:pt idx="2">
                  <c:v>Fashion</c:v>
                </c:pt>
                <c:pt idx="3">
                  <c:v>Grocery</c:v>
                </c:pt>
              </c:strCache>
            </c:strRef>
          </c:cat>
          <c:val>
            <c:numRef>
              <c:f>Pivot_CategoryStore!$B$4:$B$8</c:f>
              <c:numCache>
                <c:formatCode>_("$"* #,##0_);_("$"* \(#,##0\);_("$"* "-"??_);_(@_)</c:formatCode>
                <c:ptCount val="4"/>
                <c:pt idx="0">
                  <c:v>7675</c:v>
                </c:pt>
                <c:pt idx="1">
                  <c:v>47880</c:v>
                </c:pt>
                <c:pt idx="2">
                  <c:v>25315</c:v>
                </c:pt>
                <c:pt idx="3">
                  <c:v>7440</c:v>
                </c:pt>
              </c:numCache>
            </c:numRef>
          </c:val>
          <c:extLst>
            <c:ext xmlns:c16="http://schemas.microsoft.com/office/drawing/2014/chart" uri="{C3380CC4-5D6E-409C-BE32-E72D297353CC}">
              <c16:uniqueId val="{00000000-E03A-4F78-B2CC-734235E4C853}"/>
            </c:ext>
          </c:extLst>
        </c:ser>
        <c:dLbls>
          <c:dLblPos val="outEnd"/>
          <c:showLegendKey val="0"/>
          <c:showVal val="1"/>
          <c:showCatName val="0"/>
          <c:showSerName val="0"/>
          <c:showPercent val="0"/>
          <c:showBubbleSize val="0"/>
        </c:dLbls>
        <c:gapWidth val="182"/>
        <c:axId val="94005535"/>
        <c:axId val="94037215"/>
      </c:barChart>
      <c:catAx>
        <c:axId val="9400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7215"/>
        <c:crosses val="autoZero"/>
        <c:auto val="1"/>
        <c:lblAlgn val="ctr"/>
        <c:lblOffset val="100"/>
        <c:noMultiLvlLbl val="0"/>
      </c:catAx>
      <c:valAx>
        <c:axId val="94037215"/>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0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[QuickMart_Retail_Analysis.xlsx]Pivot_City!PivotTable1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Contribution % by City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Pivot_City!$B$3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AE-4D47-9CE5-685C3705EB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AE-4D47-9CE5-685C3705EB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AE-4D47-9CE5-685C3705EB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AE-4D47-9CE5-685C3705EB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AE-4D47-9CE5-685C3705EB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Pivot_City!$A$4:$A$9</c:f>
              <c:strCache>
                <c:ptCount val="5"/>
                <c:pt idx="0">
                  <c:v>Bangalore</c:v>
                </c:pt>
                <c:pt idx="1">
                  <c:v>Delhi</c:v>
                </c:pt>
                <c:pt idx="2">
                  <c:v>Kolkata</c:v>
                </c:pt>
                <c:pt idx="3">
                  <c:v>Mumbai</c:v>
                </c:pt>
                <c:pt idx="4">
                  <c:v>Chennai</c:v>
                </c:pt>
              </c:strCache>
            </c:strRef>
          </c:cat>
          <c:val>
            <c:numRef>
              <c:f>Pivot_City!$B$4:$B$9</c:f>
              <c:numCache>
                <c:formatCode>"$"#,##0</c:formatCode>
                <c:ptCount val="5"/>
                <c:pt idx="0">
                  <c:v>31840</c:v>
                </c:pt>
                <c:pt idx="1">
                  <c:v>18290</c:v>
                </c:pt>
                <c:pt idx="2">
                  <c:v>14010</c:v>
                </c:pt>
                <c:pt idx="3">
                  <c:v>12940</c:v>
                </c:pt>
                <c:pt idx="4">
                  <c:v>11230</c:v>
                </c:pt>
              </c:numCache>
            </c:numRef>
          </c:val>
          <c:extLst>
            <c:ext xmlns:c16="http://schemas.microsoft.com/office/drawing/2014/chart" uri="{C3380CC4-5D6E-409C-BE32-E72D297353CC}">
              <c16:uniqueId val="{0000000A-7FAE-4D47-9CE5-685C3705EB38}"/>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[QuickMart_Retail_Analysis.xlsx]Pivot_City!PivotTable1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Net Revenue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Pivot_City!$A$4:$A$9</c:f>
              <c:strCache>
                <c:ptCount val="5"/>
                <c:pt idx="0">
                  <c:v>Bangalore</c:v>
                </c:pt>
                <c:pt idx="1">
                  <c:v>Delhi</c:v>
                </c:pt>
                <c:pt idx="2">
                  <c:v>Kolkata</c:v>
                </c:pt>
                <c:pt idx="3">
                  <c:v>Mumbai</c:v>
                </c:pt>
                <c:pt idx="4">
                  <c:v>Chennai</c:v>
                </c:pt>
              </c:strCache>
            </c:strRef>
          </c:cat>
          <c:val>
            <c:numRef>
              <c:f>Pivot_City!$B$4:$B$9</c:f>
              <c:numCache>
                <c:formatCode>"$"#,##0</c:formatCode>
                <c:ptCount val="5"/>
                <c:pt idx="0">
                  <c:v>31840</c:v>
                </c:pt>
                <c:pt idx="1">
                  <c:v>18290</c:v>
                </c:pt>
                <c:pt idx="2">
                  <c:v>14010</c:v>
                </c:pt>
                <c:pt idx="3">
                  <c:v>12940</c:v>
                </c:pt>
                <c:pt idx="4">
                  <c:v>11230</c:v>
                </c:pt>
              </c:numCache>
            </c:numRef>
          </c:val>
          <c:extLst>
            <c:ext xmlns:c16="http://schemas.microsoft.com/office/drawing/2014/chart" uri="{C3380CC4-5D6E-409C-BE32-E72D297353CC}">
              <c16:uniqueId val="{00000000-7E5F-4495-9F69-23C87910AC5D}"/>
            </c:ext>
          </c:extLst>
        </c:ser>
        <c:dLbls>
          <c:dLblPos val="outEnd"/>
          <c:showLegendKey val="0"/>
          <c:showVal val="1"/>
          <c:showCatName val="0"/>
          <c:showSerName val="0"/>
          <c:showPercent val="0"/>
          <c:showBubbleSize val="0"/>
        </c:dLbls>
        <c:gapWidth val="219"/>
        <c:overlap val="-27"/>
        <c:axId val="94060735"/>
        <c:axId val="94044415"/>
      </c:barChart>
      <c:catAx>
        <c:axId val="9406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4415"/>
        <c:crosses val="autoZero"/>
        <c:auto val="1"/>
        <c:lblAlgn val="ctr"/>
        <c:lblOffset val="100"/>
        <c:noMultiLvlLbl val="0"/>
      </c:catAx>
      <c:valAx>
        <c:axId val="94044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6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[QuickMart_Retail_Analysis.xlsx]Pivot_City!PivotTable1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Pivot_City!$B$3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2B-4103-A8D3-16C3CC8293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2B-4103-A8D3-16C3CC8293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2B-4103-A8D3-16C3CC8293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2B-4103-A8D3-16C3CC8293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2B-4103-A8D3-16C3CC8293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Pivot_City!$A$4:$A$9</c:f>
              <c:strCache>
                <c:ptCount val="5"/>
                <c:pt idx="0">
                  <c:v>Bangalore</c:v>
                </c:pt>
                <c:pt idx="1">
                  <c:v>Delhi</c:v>
                </c:pt>
                <c:pt idx="2">
                  <c:v>Kolkata</c:v>
                </c:pt>
                <c:pt idx="3">
                  <c:v>Mumbai</c:v>
                </c:pt>
                <c:pt idx="4">
                  <c:v>Chennai</c:v>
                </c:pt>
              </c:strCache>
            </c:strRef>
          </c:cat>
          <c:val>
            <c:numRef>
              <c:f>Pivot_City!$B$4:$B$9</c:f>
              <c:numCache>
                <c:formatCode>"$"#,##0</c:formatCode>
                <c:ptCount val="5"/>
                <c:pt idx="0">
                  <c:v>31840</c:v>
                </c:pt>
                <c:pt idx="1">
                  <c:v>18290</c:v>
                </c:pt>
                <c:pt idx="2">
                  <c:v>14010</c:v>
                </c:pt>
                <c:pt idx="3">
                  <c:v>12940</c:v>
                </c:pt>
                <c:pt idx="4">
                  <c:v>11230</c:v>
                </c:pt>
              </c:numCache>
            </c:numRef>
          </c:val>
          <c:extLst>
            <c:ext xmlns:c16="http://schemas.microsoft.com/office/drawing/2014/chart" uri="{C3380CC4-5D6E-409C-BE32-E72D297353CC}">
              <c16:uniqueId val="{00000000-7122-4B9F-B940-87CD86C9C180}"/>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[QuickMart_Retail_Analysis.xlsx]Pivot_CategoryStore!PivotTable2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Pivot_CategoryStore!$B$3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Pivot_CategoryStore!$A$4:$A$8</c:f>
              <c:strCache>
                <c:ptCount val="4"/>
                <c:pt idx="0">
                  <c:v>Beauty</c:v>
                </c:pt>
                <c:pt idx="1">
                  <c:v>Electronics</c:v>
                </c:pt>
                <c:pt idx="2">
                  <c:v>Fashion</c:v>
                </c:pt>
                <c:pt idx="3">
                  <c:v>Grocery</c:v>
                </c:pt>
              </c:strCache>
            </c:strRef>
          </c:cat>
          <c:val>
            <c:numRef>
              <c:f>Pivot_CategoryStore!$B$4:$B$8</c:f>
              <c:numCache>
                <c:formatCode>_("$"* #,##0_);_("$"* \(#,##0\);_("$"* "-"??_);_(@_)</c:formatCode>
                <c:ptCount val="4"/>
                <c:pt idx="0">
                  <c:v>7675</c:v>
                </c:pt>
                <c:pt idx="1">
                  <c:v>47880</c:v>
                </c:pt>
                <c:pt idx="2">
                  <c:v>25315</c:v>
                </c:pt>
                <c:pt idx="3">
                  <c:v>7440</c:v>
                </c:pt>
              </c:numCache>
            </c:numRef>
          </c:val>
          <c:extLst>
            <c:ext xmlns:c16="http://schemas.microsoft.com/office/drawing/2014/chart" uri="{C3380CC4-5D6E-409C-BE32-E72D297353CC}">
              <c16:uniqueId val="{00000000-8A8B-4D4B-971A-4CC30DE0E92E}"/>
            </c:ext>
          </c:extLst>
        </c:ser>
        <c:dLbls>
          <c:dLblPos val="outEnd"/>
          <c:showLegendKey val="0"/>
          <c:showVal val="1"/>
          <c:showCatName val="0"/>
          <c:showSerName val="0"/>
          <c:showPercent val="0"/>
          <c:showBubbleSize val="0"/>
        </c:dLbls>
        <c:gapWidth val="182"/>
        <c:axId val="94005535"/>
        <c:axId val="94037215"/>
      </c:barChart>
      <c:catAx>
        <c:axId val="9400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7215"/>
        <c:crosses val="autoZero"/>
        <c:auto val="1"/>
        <c:lblAlgn val="ctr"/>
        <c:lblOffset val="100"/>
        <c:noMultiLvlLbl val="0"/>
      </c:catAx>
      <c:valAx>
        <c:axId val="9403721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0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7</xdr:col>
      <xdr:colOff>0</xdr:colOff>
      <xdr:row>20</xdr:row>
      <xdr:rowOff>0</xdr:rowOff>
    </xdr:to>
    <xdr:graphicFrame macro="">
      <xdr:nvGraphicFramePr>
        <xdr:cNvPr id="2" name="Chart 1">
          <a:extLst>
            <a:ext uri="{FF2B5EF4-FFF2-40B4-BE49-F238E27FC236}">
              <a16:creationId xmlns:a16="http://schemas.microsoft.com/office/drawing/2014/main" id="{461F942D-F825-4DAC-B7E3-BDC5F391A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xdr:row>
      <xdr:rowOff>180975</xdr:rowOff>
    </xdr:from>
    <xdr:to>
      <xdr:col>15</xdr:col>
      <xdr:colOff>0</xdr:colOff>
      <xdr:row>20</xdr:row>
      <xdr:rowOff>0</xdr:rowOff>
    </xdr:to>
    <xdr:graphicFrame macro="">
      <xdr:nvGraphicFramePr>
        <xdr:cNvPr id="3" name="Chart 2">
          <a:extLst>
            <a:ext uri="{FF2B5EF4-FFF2-40B4-BE49-F238E27FC236}">
              <a16:creationId xmlns:a16="http://schemas.microsoft.com/office/drawing/2014/main" id="{8AC4E901-7A9A-4148-8CA1-0BA434DFB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20</xdr:row>
      <xdr:rowOff>0</xdr:rowOff>
    </xdr:from>
    <xdr:to>
      <xdr:col>15</xdr:col>
      <xdr:colOff>0</xdr:colOff>
      <xdr:row>34</xdr:row>
      <xdr:rowOff>76200</xdr:rowOff>
    </xdr:to>
    <xdr:graphicFrame macro="">
      <xdr:nvGraphicFramePr>
        <xdr:cNvPr id="4" name="Chart 3">
          <a:extLst>
            <a:ext uri="{FF2B5EF4-FFF2-40B4-BE49-F238E27FC236}">
              <a16:creationId xmlns:a16="http://schemas.microsoft.com/office/drawing/2014/main" id="{C3BB0A87-F7DC-4078-AAE4-73C9E5112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20</xdr:row>
      <xdr:rowOff>1</xdr:rowOff>
    </xdr:from>
    <xdr:to>
      <xdr:col>7</xdr:col>
      <xdr:colOff>0</xdr:colOff>
      <xdr:row>27</xdr:row>
      <xdr:rowOff>0</xdr:rowOff>
    </xdr:to>
    <mc:AlternateContent xmlns:mc="http://schemas.openxmlformats.org/markup-compatibility/2006" xmlns:a14="http://schemas.microsoft.com/office/drawing/2010/main">
      <mc:Choice Requires="a14">
        <xdr:graphicFrame macro="">
          <xdr:nvGraphicFramePr>
            <xdr:cNvPr id="5" name="Order_Status 1">
              <a:extLst>
                <a:ext uri="{FF2B5EF4-FFF2-40B4-BE49-F238E27FC236}">
                  <a16:creationId xmlns:a16="http://schemas.microsoft.com/office/drawing/2014/main" id="{7F3E9B01-389C-447F-81FB-F7ECDE5114F1}"/>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0" y="3810001"/>
              <a:ext cx="4429125"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15</xdr:row>
      <xdr:rowOff>9526</xdr:rowOff>
    </xdr:from>
    <xdr:ext cx="5105400" cy="1333500"/>
    <xdr:sp macro="" textlink="">
      <xdr:nvSpPr>
        <xdr:cNvPr id="2" name="TextBox 1">
          <a:extLst>
            <a:ext uri="{FF2B5EF4-FFF2-40B4-BE49-F238E27FC236}">
              <a16:creationId xmlns:a16="http://schemas.microsoft.com/office/drawing/2014/main" id="{A3102DAD-791A-CE83-7216-29241681D9DB}"/>
            </a:ext>
          </a:extLst>
        </xdr:cNvPr>
        <xdr:cNvSpPr txBox="1"/>
      </xdr:nvSpPr>
      <xdr:spPr>
        <a:xfrm>
          <a:off x="0" y="3228976"/>
          <a:ext cx="5105400" cy="1333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 Bangalore contributes 36% of total revenue, driven by higher AOV.</a:t>
          </a:r>
          <a:br>
            <a:rPr lang="en-US" sz="1200"/>
          </a:br>
          <a:r>
            <a:rPr lang="en-US" sz="1200"/>
            <a:t>• Electronics accounts for the largest revenue share ($47,880).</a:t>
          </a:r>
          <a:br>
            <a:rPr lang="en-US" sz="1200"/>
          </a:br>
          <a:r>
            <a:rPr lang="en-US" sz="1200"/>
            <a:t>• Mall store type generates the highest revenue ($51,235).</a:t>
          </a:r>
          <a:br>
            <a:rPr lang="en-US" sz="1200"/>
          </a:br>
          <a:r>
            <a:rPr lang="en-US" sz="1200"/>
            <a:t>• 19% of potential revenue is lost due to cancellations and returns.</a:t>
          </a:r>
          <a:br>
            <a:rPr lang="en-US" sz="1200"/>
          </a:br>
          <a:r>
            <a:rPr lang="en-US" sz="1200"/>
            <a:t>• 92% of revenue comes from digital payments.</a:t>
          </a:r>
          <a:br>
            <a:rPr lang="en-US" sz="1200"/>
          </a:br>
          <a:r>
            <a:rPr lang="en-US" sz="1200"/>
            <a:t>• High-discount orders (&gt;10%) generate $26,525 and should be monitored.</a:t>
          </a:r>
        </a:p>
      </xdr:txBody>
    </xdr:sp>
    <xdr:clientData/>
  </xdr:oneCellAnchor>
  <xdr:twoCellAnchor>
    <xdr:from>
      <xdr:col>0</xdr:col>
      <xdr:colOff>0</xdr:colOff>
      <xdr:row>25</xdr:row>
      <xdr:rowOff>9525</xdr:rowOff>
    </xdr:from>
    <xdr:to>
      <xdr:col>7</xdr:col>
      <xdr:colOff>600074</xdr:colOff>
      <xdr:row>29</xdr:row>
      <xdr:rowOff>180975</xdr:rowOff>
    </xdr:to>
    <xdr:sp macro="" textlink="">
      <xdr:nvSpPr>
        <xdr:cNvPr id="3" name="TextBox 2">
          <a:extLst>
            <a:ext uri="{FF2B5EF4-FFF2-40B4-BE49-F238E27FC236}">
              <a16:creationId xmlns:a16="http://schemas.microsoft.com/office/drawing/2014/main" id="{7926AAED-5006-1C5F-C517-D221F4885C6E}"/>
            </a:ext>
          </a:extLst>
        </xdr:cNvPr>
        <xdr:cNvSpPr txBox="1"/>
      </xdr:nvSpPr>
      <xdr:spPr>
        <a:xfrm>
          <a:off x="0" y="5172075"/>
          <a:ext cx="5076824" cy="9334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US" sz="1200" b="0" i="0" u="none" strike="noStrike">
              <a:solidFill>
                <a:schemeClr val="dk1"/>
              </a:solidFill>
              <a:effectLst/>
              <a:latin typeface="+mn-lt"/>
              <a:ea typeface="+mn-ea"/>
              <a:cs typeface="+mn-cs"/>
            </a:rPr>
            <a:t>Focus on reducing return rate to improve realized revenue.</a:t>
          </a:r>
        </a:p>
        <a:p>
          <a:pPr marL="171450" indent="-171450">
            <a:buFont typeface="Arial" panose="020B0604020202020204" pitchFamily="34" charset="0"/>
            <a:buChar char="•"/>
          </a:pPr>
          <a:r>
            <a:rPr lang="en-US" sz="1200" b="0" i="0" u="none" strike="noStrike">
              <a:solidFill>
                <a:schemeClr val="dk1"/>
              </a:solidFill>
              <a:effectLst/>
              <a:latin typeface="+mn-lt"/>
              <a:ea typeface="+mn-ea"/>
              <a:cs typeface="+mn-cs"/>
            </a:rPr>
            <a:t>Evaluate discount strategy impact on profitability.</a:t>
          </a:r>
          <a:r>
            <a:rPr lang="en-US" sz="1400">
              <a:effectLst/>
            </a:rPr>
            <a:t> </a:t>
          </a:r>
        </a:p>
        <a:p>
          <a:pPr marL="171450" indent="-171450">
            <a:buFont typeface="Arial" panose="020B0604020202020204" pitchFamily="34" charset="0"/>
            <a:buChar char="•"/>
          </a:pPr>
          <a:r>
            <a:rPr lang="en-US" sz="1200" b="0" i="0" u="none" strike="noStrike">
              <a:solidFill>
                <a:schemeClr val="dk1"/>
              </a:solidFill>
              <a:effectLst/>
              <a:latin typeface="+mn-lt"/>
              <a:ea typeface="+mn-ea"/>
              <a:cs typeface="+mn-cs"/>
            </a:rPr>
            <a:t>Digital payment dominance suggests strong online engagement.</a:t>
          </a:r>
          <a:r>
            <a:rPr lang="en-US" sz="1400">
              <a:effectLst/>
            </a:rPr>
            <a:t> </a:t>
          </a:r>
          <a:endParaRPr lang="en-US" sz="1400">
            <a:solidFill>
              <a:schemeClr val="tx1"/>
            </a:solidFill>
            <a:latin typeface="+mn-lt"/>
            <a:ea typeface="+mn-ea"/>
            <a:cs typeface="+mn-cs"/>
          </a:endParaRPr>
        </a:p>
      </xdr:txBody>
    </xdr:sp>
    <xdr:clientData/>
  </xdr:twoCellAnchor>
  <xdr:oneCellAnchor>
    <xdr:from>
      <xdr:col>16</xdr:col>
      <xdr:colOff>295275</xdr:colOff>
      <xdr:row>38</xdr:row>
      <xdr:rowOff>76200</xdr:rowOff>
    </xdr:from>
    <xdr:ext cx="184731" cy="264560"/>
    <xdr:sp macro="" textlink="">
      <xdr:nvSpPr>
        <xdr:cNvPr id="4" name="TextBox 3">
          <a:extLst>
            <a:ext uri="{FF2B5EF4-FFF2-40B4-BE49-F238E27FC236}">
              <a16:creationId xmlns:a16="http://schemas.microsoft.com/office/drawing/2014/main" id="{D235C157-AA29-8DBA-4DE4-EA71617C992A}"/>
            </a:ext>
          </a:extLst>
        </xdr:cNvPr>
        <xdr:cNvSpPr txBox="1"/>
      </xdr:nvSpPr>
      <xdr:spPr>
        <a:xfrm>
          <a:off x="10258425" y="7715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9525</xdr:colOff>
      <xdr:row>2</xdr:row>
      <xdr:rowOff>0</xdr:rowOff>
    </xdr:from>
    <xdr:to>
      <xdr:col>6</xdr:col>
      <xdr:colOff>600075</xdr:colOff>
      <xdr:row>8</xdr:row>
      <xdr:rowOff>190499</xdr:rowOff>
    </xdr:to>
    <mc:AlternateContent xmlns:mc="http://schemas.openxmlformats.org/markup-compatibility/2006" xmlns:a14="http://schemas.microsoft.com/office/drawing/2010/main">
      <mc:Choice Requires="a14">
        <xdr:graphicFrame macro="">
          <xdr:nvGraphicFramePr>
            <xdr:cNvPr id="2" name="Order_Status">
              <a:extLst>
                <a:ext uri="{FF2B5EF4-FFF2-40B4-BE49-F238E27FC236}">
                  <a16:creationId xmlns:a16="http://schemas.microsoft.com/office/drawing/2014/main" id="{393C9522-933F-B8D5-6D7A-E195A1909E74}"/>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3981450" y="381000"/>
              <a:ext cx="1809750"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485775</xdr:colOff>
      <xdr:row>11</xdr:row>
      <xdr:rowOff>119062</xdr:rowOff>
    </xdr:from>
    <xdr:to>
      <xdr:col>5</xdr:col>
      <xdr:colOff>476250</xdr:colOff>
      <xdr:row>26</xdr:row>
      <xdr:rowOff>4762</xdr:rowOff>
    </xdr:to>
    <xdr:graphicFrame macro="">
      <xdr:nvGraphicFramePr>
        <xdr:cNvPr id="3" name="Chart 2">
          <a:extLst>
            <a:ext uri="{FF2B5EF4-FFF2-40B4-BE49-F238E27FC236}">
              <a16:creationId xmlns:a16="http://schemas.microsoft.com/office/drawing/2014/main" id="{9A3AA0CC-0573-4A69-B361-94C3CC8E7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10</xdr:row>
      <xdr:rowOff>147637</xdr:rowOff>
    </xdr:from>
    <xdr:to>
      <xdr:col>13</xdr:col>
      <xdr:colOff>76200</xdr:colOff>
      <xdr:row>25</xdr:row>
      <xdr:rowOff>33337</xdr:rowOff>
    </xdr:to>
    <xdr:graphicFrame macro="">
      <xdr:nvGraphicFramePr>
        <xdr:cNvPr id="4" name="Chart 3">
          <a:extLst>
            <a:ext uri="{FF2B5EF4-FFF2-40B4-BE49-F238E27FC236}">
              <a16:creationId xmlns:a16="http://schemas.microsoft.com/office/drawing/2014/main" id="{6CC0168C-8B01-DC88-124C-8A1BFB60F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257175</xdr:colOff>
      <xdr:row>11</xdr:row>
      <xdr:rowOff>23812</xdr:rowOff>
    </xdr:from>
    <xdr:to>
      <xdr:col>5</xdr:col>
      <xdr:colOff>457200</xdr:colOff>
      <xdr:row>27</xdr:row>
      <xdr:rowOff>76200</xdr:rowOff>
    </xdr:to>
    <xdr:graphicFrame macro="">
      <xdr:nvGraphicFramePr>
        <xdr:cNvPr id="2" name="Chart 1">
          <a:extLst>
            <a:ext uri="{FF2B5EF4-FFF2-40B4-BE49-F238E27FC236}">
              <a16:creationId xmlns:a16="http://schemas.microsoft.com/office/drawing/2014/main" id="{4E52950E-847B-63F4-FAD5-5C90CE980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ad" refreshedDate="46070.489771643515" createdVersion="8" refreshedVersion="8" minRefreshableVersion="3" recordCount="30" xr:uid="{0E71A04B-9921-4362-8632-810F3AACD82F}">
  <cacheSource type="worksheet">
    <worksheetSource name="tbl_quickmart"/>
  </cacheSource>
  <cacheFields count="21">
    <cacheField name="Order_ID" numFmtId="0">
      <sharedItems containsSemiMixedTypes="0" containsString="0" containsNumber="1" containsInteger="1" minValue="1001" maxValue="1030"/>
    </cacheField>
    <cacheField name="Order_Date" numFmtId="14">
      <sharedItems containsSemiMixedTypes="0" containsNonDate="0" containsDate="1" containsString="0" minDate="2024-01-01T00:00:00" maxDate="2024-01-30T00:00:00"/>
    </cacheField>
    <cacheField name="City" numFmtId="0">
      <sharedItems count="5">
        <s v="Delhi"/>
        <s v="Mumbai"/>
        <s v="Bangalore"/>
        <s v="Chennai"/>
        <s v="Kolkata"/>
      </sharedItems>
    </cacheField>
    <cacheField name="State" numFmtId="0">
      <sharedItems/>
    </cacheField>
    <cacheField name="Store_Type" numFmtId="0">
      <sharedItems count="3">
        <s v="Mall"/>
        <s v="Online"/>
        <s v="High Street"/>
      </sharedItems>
    </cacheField>
    <cacheField name="Customer_ID" numFmtId="0">
      <sharedItems/>
    </cacheField>
    <cacheField name="Gender" numFmtId="0">
      <sharedItems/>
    </cacheField>
    <cacheField name="Age" numFmtId="0">
      <sharedItems containsSemiMixedTypes="0" containsString="0" containsNumber="1" containsInteger="1" minValue="21" maxValue="46"/>
    </cacheField>
    <cacheField name="Product_Category" numFmtId="0">
      <sharedItems count="4">
        <s v="Electronics"/>
        <s v="Fashion"/>
        <s v="Grocery"/>
        <s v="Beauty"/>
      </sharedItems>
    </cacheField>
    <cacheField name="Product_Name"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50" maxValue="15000"/>
    </cacheField>
    <cacheField name="Discount_%" numFmtId="0">
      <sharedItems containsSemiMixedTypes="0" containsString="0" containsNumber="1" containsInteger="1" minValue="0" maxValue="25"/>
    </cacheField>
    <cacheField name="Payment_Method" numFmtId="0">
      <sharedItems/>
    </cacheField>
    <cacheField name="Order_Status" numFmtId="0">
      <sharedItems count="3">
        <s v="Delivered"/>
        <s v="Returned"/>
        <s v="Cancelled"/>
      </sharedItems>
    </cacheField>
    <cacheField name="Revenue" numFmtId="0">
      <sharedItems containsSemiMixedTypes="0" containsString="0" containsNumber="1" containsInteger="1" minValue="200" maxValue="15000"/>
    </cacheField>
    <cacheField name="Discount_Amount" numFmtId="0">
      <sharedItems containsSemiMixedTypes="0" containsString="0" containsNumber="1" containsInteger="1" minValue="0" maxValue="1800"/>
    </cacheField>
    <cacheField name="Net_Revenue" numFmtId="0">
      <sharedItems containsSemiMixedTypes="0" containsString="0" containsNumber="1" containsInteger="1" minValue="200" maxValue="13500"/>
    </cacheField>
    <cacheField name="Age_Group" numFmtId="0">
      <sharedItems/>
    </cacheField>
    <cacheField name="Payment_Category" numFmtId="0">
      <sharedItems/>
    </cacheField>
    <cacheField name="Order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833535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d v="2024-01-01T00:00:00"/>
    <x v="0"/>
    <s v="Delhi"/>
    <x v="0"/>
    <s v="C101"/>
    <s v="Male"/>
    <n v="25"/>
    <x v="0"/>
    <s v="Headphones"/>
    <n v="2"/>
    <n v="1500"/>
    <n v="10"/>
    <s v="UPI"/>
    <x v="0"/>
    <n v="3000"/>
    <n v="300"/>
    <n v="2700"/>
    <s v="Adult"/>
    <s v="Digital"/>
    <n v="1"/>
  </r>
  <r>
    <n v="1002"/>
    <d v="2024-01-02T00:00:00"/>
    <x v="1"/>
    <s v="Maharashtra"/>
    <x v="1"/>
    <s v="C102"/>
    <s v="Female"/>
    <n v="32"/>
    <x v="1"/>
    <s v="T-Shirt"/>
    <n v="3"/>
    <n v="800"/>
    <n v="5"/>
    <s v="Card"/>
    <x v="0"/>
    <n v="2400"/>
    <n v="120"/>
    <n v="2280"/>
    <s v="Adult"/>
    <s v="Digital"/>
    <n v="1"/>
  </r>
  <r>
    <n v="1003"/>
    <d v="2024-01-03T00:00:00"/>
    <x v="2"/>
    <s v="Karnataka"/>
    <x v="2"/>
    <s v="C103"/>
    <s v="Male"/>
    <n v="45"/>
    <x v="2"/>
    <s v="Rice Bag"/>
    <n v="1"/>
    <n v="1200"/>
    <n v="0"/>
    <s v="Cash"/>
    <x v="0"/>
    <n v="1200"/>
    <n v="0"/>
    <n v="1200"/>
    <s v="Senior"/>
    <s v="Cash"/>
    <n v="1"/>
  </r>
  <r>
    <n v="1004"/>
    <d v="2024-01-03T00:00:00"/>
    <x v="0"/>
    <s v="Delhi"/>
    <x v="1"/>
    <s v="C104"/>
    <s v="Female"/>
    <n v="29"/>
    <x v="0"/>
    <s v="Smart Watch"/>
    <n v="1"/>
    <n v="5000"/>
    <n v="15"/>
    <s v="UPI"/>
    <x v="1"/>
    <n v="5000"/>
    <n v="750"/>
    <n v="4250"/>
    <s v="Adult"/>
    <s v="Digital"/>
    <n v="0"/>
  </r>
  <r>
    <n v="1005"/>
    <d v="2024-01-04T00:00:00"/>
    <x v="3"/>
    <s v="Tamil Nadu"/>
    <x v="0"/>
    <s v="C105"/>
    <s v="Male"/>
    <n v="38"/>
    <x v="1"/>
    <s v="Shoes"/>
    <n v="2"/>
    <n v="2500"/>
    <n v="20"/>
    <s v="Card"/>
    <x v="0"/>
    <n v="5000"/>
    <n v="1000"/>
    <n v="4000"/>
    <s v="Adult"/>
    <s v="Digital"/>
    <n v="1"/>
  </r>
  <r>
    <n v="1006"/>
    <d v="2024-01-05T00:00:00"/>
    <x v="1"/>
    <s v="Maharashtra"/>
    <x v="1"/>
    <s v="C106"/>
    <s v="Female"/>
    <n v="22"/>
    <x v="3"/>
    <s v="Lipstick"/>
    <n v="4"/>
    <n v="600"/>
    <n v="5"/>
    <s v="Wallet"/>
    <x v="2"/>
    <n v="2400"/>
    <n v="120"/>
    <n v="2280"/>
    <s v="Young"/>
    <s v="Digital"/>
    <n v="0"/>
  </r>
  <r>
    <n v="1007"/>
    <d v="2024-01-06T00:00:00"/>
    <x v="4"/>
    <s v="West Bengal"/>
    <x v="2"/>
    <s v="C107"/>
    <s v="Male"/>
    <n v="30"/>
    <x v="2"/>
    <s v="Cooking Oil"/>
    <n v="3"/>
    <n v="180"/>
    <n v="0"/>
    <s v="Cash"/>
    <x v="0"/>
    <n v="540"/>
    <n v="0"/>
    <n v="540"/>
    <s v="Adult"/>
    <s v="Cash"/>
    <n v="1"/>
  </r>
  <r>
    <n v="1008"/>
    <d v="2024-01-07T00:00:00"/>
    <x v="0"/>
    <s v="Delhi"/>
    <x v="0"/>
    <s v="C108"/>
    <s v="Female"/>
    <n v="41"/>
    <x v="0"/>
    <s v="Speaker"/>
    <n v="1"/>
    <n v="3500"/>
    <n v="10"/>
    <s v="UPI"/>
    <x v="0"/>
    <n v="3500"/>
    <n v="350"/>
    <n v="3150"/>
    <s v="Senior"/>
    <s v="Digital"/>
    <n v="1"/>
  </r>
  <r>
    <n v="1009"/>
    <d v="2024-01-08T00:00:00"/>
    <x v="2"/>
    <s v="Karnataka"/>
    <x v="1"/>
    <s v="C109"/>
    <s v="Male"/>
    <n v="27"/>
    <x v="1"/>
    <s v="Jeans"/>
    <n v="2"/>
    <n v="2200"/>
    <n v="5"/>
    <s v="Card"/>
    <x v="0"/>
    <n v="4400"/>
    <n v="220"/>
    <n v="4180"/>
    <s v="Adult"/>
    <s v="Digital"/>
    <n v="1"/>
  </r>
  <r>
    <n v="1010"/>
    <d v="2024-01-09T00:00:00"/>
    <x v="3"/>
    <s v="Tamil Nadu"/>
    <x v="0"/>
    <s v="C110"/>
    <s v="Female"/>
    <n v="35"/>
    <x v="2"/>
    <s v="Wheat Flour"/>
    <n v="5"/>
    <n v="450"/>
    <n v="0"/>
    <s v="Cash"/>
    <x v="0"/>
    <n v="2250"/>
    <n v="0"/>
    <n v="2250"/>
    <s v="Adult"/>
    <s v="Cash"/>
    <n v="1"/>
  </r>
  <r>
    <n v="1011"/>
    <d v="2024-01-10T00:00:00"/>
    <x v="1"/>
    <s v="Maharashtra"/>
    <x v="2"/>
    <s v="C111"/>
    <s v="Male"/>
    <n v="28"/>
    <x v="0"/>
    <s v="Power Bank"/>
    <n v="3"/>
    <n v="1200"/>
    <n v="10"/>
    <s v="UPI"/>
    <x v="0"/>
    <n v="3600"/>
    <n v="360"/>
    <n v="3240"/>
    <s v="Adult"/>
    <s v="Digital"/>
    <n v="1"/>
  </r>
  <r>
    <n v="1012"/>
    <d v="2024-01-11T00:00:00"/>
    <x v="4"/>
    <s v="West Bengal"/>
    <x v="1"/>
    <s v="C112"/>
    <s v="Female"/>
    <n v="24"/>
    <x v="3"/>
    <s v="Face Wash"/>
    <n v="2"/>
    <n v="300"/>
    <n v="5"/>
    <s v="Wallet"/>
    <x v="0"/>
    <n v="600"/>
    <n v="30"/>
    <n v="570"/>
    <s v="Young"/>
    <s v="Digital"/>
    <n v="1"/>
  </r>
  <r>
    <n v="1013"/>
    <d v="2024-01-12T00:00:00"/>
    <x v="0"/>
    <s v="Delhi"/>
    <x v="1"/>
    <s v="C113"/>
    <s v="Male"/>
    <n v="33"/>
    <x v="1"/>
    <s v="Jacket"/>
    <n v="1"/>
    <n v="4000"/>
    <n v="25"/>
    <s v="Card"/>
    <x v="1"/>
    <n v="4000"/>
    <n v="1000"/>
    <n v="3000"/>
    <s v="Adult"/>
    <s v="Digital"/>
    <n v="0"/>
  </r>
  <r>
    <n v="1014"/>
    <d v="2024-01-13T00:00:00"/>
    <x v="2"/>
    <s v="Karnataka"/>
    <x v="0"/>
    <s v="C114"/>
    <s v="Female"/>
    <n v="26"/>
    <x v="0"/>
    <s v="Tablet"/>
    <n v="1"/>
    <n v="15000"/>
    <n v="10"/>
    <s v="UPI"/>
    <x v="0"/>
    <n v="15000"/>
    <n v="1500"/>
    <n v="13500"/>
    <s v="Adult"/>
    <s v="Digital"/>
    <n v="1"/>
  </r>
  <r>
    <n v="1015"/>
    <d v="2024-01-14T00:00:00"/>
    <x v="3"/>
    <s v="Tamil Nadu"/>
    <x v="2"/>
    <s v="C115"/>
    <s v="Male"/>
    <n v="40"/>
    <x v="2"/>
    <s v="Sugar"/>
    <n v="4"/>
    <n v="50"/>
    <n v="0"/>
    <s v="Cash"/>
    <x v="0"/>
    <n v="200"/>
    <n v="0"/>
    <n v="200"/>
    <s v="Adult"/>
    <s v="Cash"/>
    <n v="1"/>
  </r>
  <r>
    <n v="1016"/>
    <d v="2024-01-15T00:00:00"/>
    <x v="1"/>
    <s v="Maharashtra"/>
    <x v="0"/>
    <s v="C116"/>
    <s v="Female"/>
    <n v="31"/>
    <x v="1"/>
    <s v="Handbag"/>
    <n v="1"/>
    <n v="3500"/>
    <n v="15"/>
    <s v="Card"/>
    <x v="0"/>
    <n v="3500"/>
    <n v="525"/>
    <n v="2975"/>
    <s v="Adult"/>
    <s v="Digital"/>
    <n v="1"/>
  </r>
  <r>
    <n v="1017"/>
    <d v="2024-01-16T00:00:00"/>
    <x v="0"/>
    <s v="Delhi"/>
    <x v="1"/>
    <s v="C117"/>
    <s v="Male"/>
    <n v="23"/>
    <x v="3"/>
    <s v="Perfume"/>
    <n v="1"/>
    <n v="2800"/>
    <n v="5"/>
    <s v="Wallet"/>
    <x v="0"/>
    <n v="2800"/>
    <n v="140"/>
    <n v="2660"/>
    <s v="Young"/>
    <s v="Digital"/>
    <n v="1"/>
  </r>
  <r>
    <n v="1018"/>
    <d v="2024-01-17T00:00:00"/>
    <x v="4"/>
    <s v="West Bengal"/>
    <x v="0"/>
    <s v="C118"/>
    <s v="Female"/>
    <n v="42"/>
    <x v="0"/>
    <s v="Air Fryer"/>
    <n v="1"/>
    <n v="9000"/>
    <n v="20"/>
    <s v="UPI"/>
    <x v="0"/>
    <n v="9000"/>
    <n v="1800"/>
    <n v="7200"/>
    <s v="Senior"/>
    <s v="Digital"/>
    <n v="1"/>
  </r>
  <r>
    <n v="1019"/>
    <d v="2024-01-18T00:00:00"/>
    <x v="2"/>
    <s v="Karnataka"/>
    <x v="2"/>
    <s v="C119"/>
    <s v="Male"/>
    <n v="37"/>
    <x v="2"/>
    <s v="Pulses"/>
    <n v="3"/>
    <n v="150"/>
    <n v="0"/>
    <s v="Cash"/>
    <x v="0"/>
    <n v="450"/>
    <n v="0"/>
    <n v="450"/>
    <s v="Adult"/>
    <s v="Cash"/>
    <n v="1"/>
  </r>
  <r>
    <n v="1020"/>
    <d v="2024-01-19T00:00:00"/>
    <x v="3"/>
    <s v="Tamil Nadu"/>
    <x v="1"/>
    <s v="C120"/>
    <s v="Female"/>
    <n v="29"/>
    <x v="1"/>
    <s v="Top"/>
    <n v="2"/>
    <n v="1200"/>
    <n v="10"/>
    <s v="Card"/>
    <x v="2"/>
    <n v="2400"/>
    <n v="240"/>
    <n v="2160"/>
    <s v="Adult"/>
    <s v="Digital"/>
    <n v="0"/>
  </r>
  <r>
    <n v="1021"/>
    <d v="2024-01-20T00:00:00"/>
    <x v="0"/>
    <s v="Delhi"/>
    <x v="0"/>
    <s v="C121"/>
    <s v="Male"/>
    <n v="34"/>
    <x v="0"/>
    <s v="Mouse"/>
    <n v="2"/>
    <n v="700"/>
    <n v="5"/>
    <s v="UPI"/>
    <x v="0"/>
    <n v="1400"/>
    <n v="70"/>
    <n v="1330"/>
    <s v="Adult"/>
    <s v="Digital"/>
    <n v="1"/>
  </r>
  <r>
    <n v="1022"/>
    <d v="2024-01-21T00:00:00"/>
    <x v="1"/>
    <s v="Maharashtra"/>
    <x v="2"/>
    <s v="C122"/>
    <s v="Female"/>
    <n v="27"/>
    <x v="3"/>
    <s v="Shampoo"/>
    <n v="3"/>
    <n v="450"/>
    <n v="10"/>
    <s v="Wallet"/>
    <x v="0"/>
    <n v="1350"/>
    <n v="135"/>
    <n v="1215"/>
    <s v="Adult"/>
    <s v="Digital"/>
    <n v="1"/>
  </r>
  <r>
    <n v="1023"/>
    <d v="2024-01-22T00:00:00"/>
    <x v="4"/>
    <s v="West Bengal"/>
    <x v="1"/>
    <s v="C123"/>
    <s v="Male"/>
    <n v="46"/>
    <x v="2"/>
    <s v="Tea Pack"/>
    <n v="2"/>
    <n v="300"/>
    <n v="0"/>
    <s v="Cash"/>
    <x v="0"/>
    <n v="600"/>
    <n v="0"/>
    <n v="600"/>
    <s v="Senior"/>
    <s v="Cash"/>
    <n v="1"/>
  </r>
  <r>
    <n v="1024"/>
    <d v="2024-01-23T00:00:00"/>
    <x v="2"/>
    <s v="Karnataka"/>
    <x v="0"/>
    <s v="C124"/>
    <s v="Female"/>
    <n v="36"/>
    <x v="0"/>
    <s v="Keyboard"/>
    <n v="1"/>
    <n v="1800"/>
    <n v="5"/>
    <s v="Card"/>
    <x v="0"/>
    <n v="1800"/>
    <n v="90"/>
    <n v="1710"/>
    <s v="Adult"/>
    <s v="Digital"/>
    <n v="1"/>
  </r>
  <r>
    <n v="1025"/>
    <d v="2024-01-24T00:00:00"/>
    <x v="3"/>
    <s v="Tamil Nadu"/>
    <x v="0"/>
    <s v="C125"/>
    <s v="Male"/>
    <n v="39"/>
    <x v="1"/>
    <s v="Belt"/>
    <n v="2"/>
    <n v="900"/>
    <n v="10"/>
    <s v="UPI"/>
    <x v="0"/>
    <n v="1800"/>
    <n v="180"/>
    <n v="1620"/>
    <s v="Adult"/>
    <s v="Digital"/>
    <n v="1"/>
  </r>
  <r>
    <n v="1026"/>
    <d v="2024-01-25T00:00:00"/>
    <x v="1"/>
    <s v="Maharashtra"/>
    <x v="1"/>
    <s v="C126"/>
    <s v="Female"/>
    <n v="21"/>
    <x v="3"/>
    <s v="Nail Polish"/>
    <n v="5"/>
    <n v="200"/>
    <n v="5"/>
    <s v="Wallet"/>
    <x v="0"/>
    <n v="1000"/>
    <n v="50"/>
    <n v="950"/>
    <s v="Young"/>
    <s v="Digital"/>
    <n v="1"/>
  </r>
  <r>
    <n v="1027"/>
    <d v="2024-01-26T00:00:00"/>
    <x v="0"/>
    <s v="Delhi"/>
    <x v="2"/>
    <s v="C127"/>
    <s v="Male"/>
    <n v="44"/>
    <x v="2"/>
    <s v="Atta"/>
    <n v="3"/>
    <n v="400"/>
    <n v="0"/>
    <s v="Cash"/>
    <x v="0"/>
    <n v="1200"/>
    <n v="0"/>
    <n v="1200"/>
    <s v="Senior"/>
    <s v="Cash"/>
    <n v="1"/>
  </r>
  <r>
    <n v="1028"/>
    <d v="2024-01-27T00:00:00"/>
    <x v="4"/>
    <s v="West Bengal"/>
    <x v="1"/>
    <s v="C128"/>
    <s v="Female"/>
    <n v="28"/>
    <x v="1"/>
    <s v="Saree"/>
    <n v="1"/>
    <n v="6000"/>
    <n v="15"/>
    <s v="Card"/>
    <x v="1"/>
    <n v="6000"/>
    <n v="900"/>
    <n v="5100"/>
    <s v="Adult"/>
    <s v="Digital"/>
    <n v="0"/>
  </r>
  <r>
    <n v="1029"/>
    <d v="2024-01-28T00:00:00"/>
    <x v="2"/>
    <s v="Karnataka"/>
    <x v="0"/>
    <s v="C129"/>
    <s v="Male"/>
    <n v="32"/>
    <x v="0"/>
    <s v="Monitor"/>
    <n v="1"/>
    <n v="12000"/>
    <n v="10"/>
    <s v="UPI"/>
    <x v="0"/>
    <n v="12000"/>
    <n v="1200"/>
    <n v="10800"/>
    <s v="Adult"/>
    <s v="Digital"/>
    <n v="1"/>
  </r>
  <r>
    <n v="1030"/>
    <d v="2024-01-29T00:00:00"/>
    <x v="3"/>
    <s v="Tamil Nadu"/>
    <x v="2"/>
    <s v="C130"/>
    <s v="Female"/>
    <n v="30"/>
    <x v="2"/>
    <s v="Spices"/>
    <n v="4"/>
    <n v="250"/>
    <n v="0"/>
    <s v="Cash"/>
    <x v="0"/>
    <n v="1000"/>
    <n v="0"/>
    <n v="1000"/>
    <s v="Adult"/>
    <s v="Cash"/>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B4E447-F483-45DB-B7A5-2C55D36A11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rowPageCount="1" colPageCount="1"/>
  <pivotFields count="21">
    <pivotField showAll="0"/>
    <pivotField numFmtId="14" showAll="0"/>
    <pivotField axis="axisRow" showAll="0" sortType="descending">
      <items count="6">
        <item x="2"/>
        <item x="3"/>
        <item x="0"/>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2"/>
        <item x="0"/>
        <item x="1"/>
        <item t="default"/>
      </items>
    </pivotField>
    <pivotField showAll="0"/>
    <pivotField showAll="0"/>
    <pivotField dataField="1" showAll="0"/>
    <pivotField showAll="0"/>
    <pivotField showAll="0"/>
    <pivotField showAll="0"/>
  </pivotFields>
  <rowFields count="1">
    <field x="2"/>
  </rowFields>
  <rowItems count="6">
    <i>
      <x/>
    </i>
    <i>
      <x v="2"/>
    </i>
    <i>
      <x v="3"/>
    </i>
    <i>
      <x v="4"/>
    </i>
    <i>
      <x v="1"/>
    </i>
    <i t="grand">
      <x/>
    </i>
  </rowItems>
  <colItems count="1">
    <i/>
  </colItems>
  <pageFields count="1">
    <pageField fld="14" hier="-1"/>
  </pageFields>
  <dataFields count="1">
    <dataField name="Sum of Net_Revenue" fld="17" baseField="0" baseItem="0" numFmtId="164"/>
  </dataFields>
  <chartFormats count="1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2" count="1" selected="0">
            <x v="0"/>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3"/>
          </reference>
        </references>
      </pivotArea>
    </chartFormat>
    <chartFormat chart="9" format="11">
      <pivotArea type="data" outline="0" fieldPosition="0">
        <references count="2">
          <reference field="4294967294" count="1" selected="0">
            <x v="0"/>
          </reference>
          <reference field="2" count="1" selected="0">
            <x v="4"/>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2"/>
          </reference>
        </references>
      </pivotArea>
    </chartFormat>
    <chartFormat chart="6" format="3">
      <pivotArea type="data" outline="0" fieldPosition="0">
        <references count="2">
          <reference field="4294967294" count="1" selected="0">
            <x v="0"/>
          </reference>
          <reference field="2" count="1" selected="0">
            <x v="3"/>
          </reference>
        </references>
      </pivotArea>
    </chartFormat>
    <chartFormat chart="6" format="4">
      <pivotArea type="data" outline="0" fieldPosition="0">
        <references count="2">
          <reference field="4294967294" count="1" selected="0">
            <x v="0"/>
          </reference>
          <reference field="2" count="1" selected="0">
            <x v="4"/>
          </reference>
        </references>
      </pivotArea>
    </chartFormat>
    <chartFormat chart="6"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D03035-B5D1-45EA-A76A-CF46749CE725}" name="PivotTable2"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1">
    <pivotField showAll="0"/>
    <pivotField numFmtId="14" showAll="0"/>
    <pivotField showAll="0"/>
    <pivotField showAll="0"/>
    <pivotField showAll="0">
      <items count="4">
        <item x="2"/>
        <item x="0"/>
        <item x="1"/>
        <item t="default"/>
      </items>
    </pivotField>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pivotField showAll="0"/>
  </pivotFields>
  <rowFields count="1">
    <field x="8"/>
  </rowFields>
  <rowItems count="5">
    <i>
      <x/>
    </i>
    <i>
      <x v="1"/>
    </i>
    <i>
      <x v="2"/>
    </i>
    <i>
      <x v="3"/>
    </i>
    <i t="grand">
      <x/>
    </i>
  </rowItems>
  <colItems count="1">
    <i/>
  </colItems>
  <dataFields count="1">
    <dataField name="Sum of Net_Revenue" fld="17" baseField="0" baseItem="0"/>
  </dataFields>
  <formats count="1">
    <format dxfId="18">
      <pivotArea field="4" grandCol="1" outline="0" collapsedLevelsAreSubtotals="1">
        <references count="1">
          <reference field="4294967294" count="1" selected="0">
            <x v="0"/>
          </reference>
        </references>
      </pivotArea>
    </format>
  </formats>
  <chartFormats count="2">
    <chartFormat chart="0" format="3"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B5B249-60D7-4396-BCAC-AAF64282BFF8}" autoFormatId="16" applyNumberFormats="0" applyBorderFormats="0" applyFontFormats="0" applyPatternFormats="0" applyAlignmentFormats="0" applyWidthHeightFormats="0">
  <queryTableRefresh nextId="26" unboundColumnsRight="4">
    <queryTableFields count="23">
      <queryTableField id="1" name="Order_ID" tableColumnId="1"/>
      <queryTableField id="2" name="Order_Date" tableColumnId="2"/>
      <queryTableField id="3" name="City" tableColumnId="3"/>
      <queryTableField id="4" name="State" tableColumnId="4"/>
      <queryTableField id="5" name="Store_Type" tableColumnId="5"/>
      <queryTableField id="6" name="Customer_ID" tableColumnId="6"/>
      <queryTableField id="7" name="Gender" tableColumnId="7"/>
      <queryTableField id="8" name="Age" tableColumnId="8"/>
      <queryTableField id="9" name="Product_Category" tableColumnId="9"/>
      <queryTableField id="10" name="Product_Name" tableColumnId="10"/>
      <queryTableField id="11" name="Quantity" tableColumnId="11"/>
      <queryTableField id="12" name="Unit_Price" tableColumnId="12"/>
      <queryTableField id="13" name="Discount_%" tableColumnId="13"/>
      <queryTableField id="14" name="Payment_Method" tableColumnId="14"/>
      <queryTableField id="15" name="Order_Status" tableColumnId="15"/>
      <queryTableField id="16" name="Revenue" tableColumnId="16"/>
      <queryTableField id="17" name="Discount_Amount" tableColumnId="17"/>
      <queryTableField id="18" name="Net_Revenue" tableColumnId="18"/>
      <queryTableField id="19" name="Age_Group" tableColumnId="19"/>
      <queryTableField id="20" dataBound="0" tableColumnId="21"/>
      <queryTableField id="21" dataBound="0" tableColumnId="22"/>
      <queryTableField id="23" dataBound="0" tableColumnId="25"/>
      <queryTableField id="24"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86A37033-2519-4C8D-A776-FF3EF9611374}" sourceName="Order_Status">
  <pivotTables>
    <pivotTable tabId="3" name="PivotTable1"/>
    <pivotTable tabId="4" name="PivotTable2"/>
  </pivotTables>
  <data>
    <tabular pivotCacheId="183353558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4046FA8E-6F72-4F40-A03C-176A5A75A121}" cache="Slicer_Order_Status" caption="Order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CB118996-D3EB-4E58-AD66-487D35A865C1}" cache="Slicer_Order_Status" caption="Order_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6BF770-B697-48C9-BD76-539CF562C0B1}" name="tbl_quickmart" displayName="tbl_quickmart" ref="A1:W31" tableType="queryTable" totalsRowShown="0">
  <autoFilter ref="A1:W31" xr:uid="{6F6BF770-B697-48C9-BD76-539CF562C0B1}"/>
  <tableColumns count="23">
    <tableColumn id="1" xr3:uid="{8D169000-8967-45D4-949C-7811D9015F04}" uniqueName="1" name="Order_ID" queryTableFieldId="1"/>
    <tableColumn id="2" xr3:uid="{F1A67C1D-E1DF-4338-82C9-BF3BF649154D}" uniqueName="2" name="Order_Date" queryTableFieldId="2" dataDxfId="17"/>
    <tableColumn id="3" xr3:uid="{686B07FB-450D-4CD8-A467-0B522A4A9580}" uniqueName="3" name="City" queryTableFieldId="3" dataDxfId="16"/>
    <tableColumn id="4" xr3:uid="{1A4C928B-4F14-40DB-864E-F1F3DD8DE68A}" uniqueName="4" name="State" queryTableFieldId="4" dataDxfId="15"/>
    <tableColumn id="5" xr3:uid="{9724414E-8F82-4BCC-A852-B3EF8C8455AC}" uniqueName="5" name="Store_Type" queryTableFieldId="5" dataDxfId="14"/>
    <tableColumn id="6" xr3:uid="{7FC00545-9993-4BF9-B13C-3CC3D6511ABD}" uniqueName="6" name="Customer_ID" queryTableFieldId="6" dataDxfId="13"/>
    <tableColumn id="7" xr3:uid="{96A8A01D-3DD9-4692-8B21-70933377C705}" uniqueName="7" name="Gender" queryTableFieldId="7" dataDxfId="12"/>
    <tableColumn id="8" xr3:uid="{8C92B4D8-F14E-4999-A816-474BC2C634FD}" uniqueName="8" name="Age" queryTableFieldId="8"/>
    <tableColumn id="9" xr3:uid="{23BBCE0E-07B5-4A24-A4D6-BF1102F2DE53}" uniqueName="9" name="Product_Category" queryTableFieldId="9" dataDxfId="11"/>
    <tableColumn id="10" xr3:uid="{A443B465-7254-4940-AA54-5545E2F36571}" uniqueName="10" name="Product_Name" queryTableFieldId="10" dataDxfId="10"/>
    <tableColumn id="11" xr3:uid="{C4D05399-3599-4588-B66B-92F0BAB143D8}" uniqueName="11" name="Quantity" queryTableFieldId="11"/>
    <tableColumn id="12" xr3:uid="{9B56ADB0-2BE1-42C2-9646-D43E026F36DA}" uniqueName="12" name="Unit_Price" queryTableFieldId="12" dataDxfId="9" dataCellStyle="Currency"/>
    <tableColumn id="13" xr3:uid="{373E0D8D-A8B6-48ED-9457-4A577651237B}" uniqueName="13" name="Discount_%" queryTableFieldId="13"/>
    <tableColumn id="14" xr3:uid="{E42F3C02-8720-44A6-B76A-B07677211096}" uniqueName="14" name="Payment_Method" queryTableFieldId="14" dataDxfId="8"/>
    <tableColumn id="15" xr3:uid="{5BB6AB42-A55C-4E96-B7B9-396E011F6244}" uniqueName="15" name="Order_Status" queryTableFieldId="15" dataDxfId="7"/>
    <tableColumn id="16" xr3:uid="{8F6FF21D-A67C-4F5A-8788-AE1FC4E92533}" uniqueName="16" name="Revenue" queryTableFieldId="16" dataDxfId="6" dataCellStyle="Currency"/>
    <tableColumn id="17" xr3:uid="{880FD712-6492-4833-BA80-D303CC3A3645}" uniqueName="17" name="Discount_Amount" queryTableFieldId="17" dataDxfId="5" dataCellStyle="Currency"/>
    <tableColumn id="18" xr3:uid="{3DE2B06E-81B8-4DD9-9D97-8F4902B83CDF}" uniqueName="18" name="Net_Revenue" queryTableFieldId="18" dataDxfId="4" dataCellStyle="Currency"/>
    <tableColumn id="19" xr3:uid="{49C8AFCA-FBF2-4DAF-ADCF-361DF7057786}" uniqueName="19" name="Age_Group" queryTableFieldId="19"/>
    <tableColumn id="21" xr3:uid="{4F332566-71D2-47CF-96E7-BD425307856D}" uniqueName="21" name="Payment_Category" queryTableFieldId="20" dataDxfId="3">
      <calculatedColumnFormula>IF(tbl_quickmart[[#This Row],[Payment_Method]]="Cash","Cash","Digital")</calculatedColumnFormula>
    </tableColumn>
    <tableColumn id="22" xr3:uid="{966713B0-FFB7-4C1B-9F9A-97C8DBD1C173}" uniqueName="22" name="Order_Flag" queryTableFieldId="21" dataDxfId="2">
      <calculatedColumnFormula>IF(tbl_quickmart[[#This Row],[Order_Status]]="Delivered",1,0)</calculatedColumnFormula>
    </tableColumn>
    <tableColumn id="25" xr3:uid="{5F9036C9-BBC0-4A74-BE96-3DA5F18B9D0C}" uniqueName="25" name="High_Value_Order" queryTableFieldId="23" dataDxfId="1">
      <calculatedColumnFormula>IF(tbl_quickmart[[#This Row],[Net_Revenue]]&gt;5000,"High","Normal")</calculatedColumnFormula>
    </tableColumn>
    <tableColumn id="26" xr3:uid="{6FD1550A-D130-4F43-A2DE-FED3B0A5AA17}" uniqueName="26" name="Discount_Level IFS" queryTableFieldId="24" dataDxfId="0">
      <calculatedColumnFormula array="1">_xlfn.IFS(tbl_quickmart[[#This Row],[Discount_%]]=0,"NO Discount",AND(tbl_quickmart[[#This Row],[Discount_%]]&gt;0,tbl_quickmart[[#This Row],[Discount_%]]&lt;=10),"Low",tbl_quickmart[[#This Row],[Discount_%]]&gt;10,"High")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D17720-5D67-4FDC-AB97-BCB4F97DAE66}" name="Table2" displayName="Table2" ref="A1:A32" totalsRowShown="0">
  <autoFilter ref="A1:A32" xr:uid="{F0D17720-5D67-4FDC-AB97-BCB4F97DAE66}"/>
  <tableColumns count="1">
    <tableColumn id="1" xr3:uid="{D0557DA2-5CCB-452D-A0FA-1F8329792302}"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C591-92D9-4CBA-8855-D4DBEDBEE5B5}">
  <dimension ref="A2:AC35"/>
  <sheetViews>
    <sheetView showGridLines="0" tabSelected="1" workbookViewId="0">
      <selection activeCell="P10" sqref="P10"/>
    </sheetView>
  </sheetViews>
  <sheetFormatPr defaultRowHeight="15" x14ac:dyDescent="0.25"/>
  <cols>
    <col min="2" max="2" width="11.5703125" bestFit="1" customWidth="1"/>
  </cols>
  <sheetData>
    <row r="2" spans="1:15" ht="15" customHeight="1" x14ac:dyDescent="0.25">
      <c r="A2" s="33" t="s">
        <v>163</v>
      </c>
      <c r="B2" s="33"/>
      <c r="C2" s="33"/>
      <c r="D2" s="33" t="s">
        <v>154</v>
      </c>
      <c r="E2" s="33"/>
      <c r="F2" s="33"/>
      <c r="G2" s="33" t="s">
        <v>145</v>
      </c>
      <c r="H2" s="33"/>
      <c r="I2" s="33"/>
      <c r="J2" s="33" t="s">
        <v>192</v>
      </c>
      <c r="K2" s="33"/>
      <c r="L2" s="33"/>
      <c r="M2" s="33" t="s">
        <v>196</v>
      </c>
      <c r="N2" s="33"/>
      <c r="O2" s="33"/>
    </row>
    <row r="3" spans="1:15" ht="15" customHeight="1" x14ac:dyDescent="0.25">
      <c r="A3" s="34">
        <f>Analysis!B9</f>
        <v>88310</v>
      </c>
      <c r="B3" s="34"/>
      <c r="C3" s="34"/>
      <c r="D3" s="35">
        <f>Analysis!B10</f>
        <v>30</v>
      </c>
      <c r="E3" s="35"/>
      <c r="F3" s="35"/>
      <c r="G3" s="34">
        <f>Analysis!B11</f>
        <v>2943.6666666666665</v>
      </c>
      <c r="H3" s="34"/>
      <c r="I3" s="34"/>
      <c r="J3" s="36">
        <f>Analysis!C26</f>
        <v>6.6666666666666666E-2</v>
      </c>
      <c r="K3" s="36"/>
      <c r="L3" s="36"/>
      <c r="M3" s="34">
        <f>Analysis!B14</f>
        <v>16790</v>
      </c>
      <c r="N3" s="34"/>
      <c r="O3" s="34"/>
    </row>
    <row r="4" spans="1:15" ht="15" customHeight="1" x14ac:dyDescent="0.25">
      <c r="A4" s="34"/>
      <c r="B4" s="34"/>
      <c r="C4" s="34"/>
      <c r="D4" s="35"/>
      <c r="E4" s="35"/>
      <c r="F4" s="35"/>
      <c r="G4" s="34"/>
      <c r="H4" s="34"/>
      <c r="I4" s="34"/>
      <c r="J4" s="36"/>
      <c r="K4" s="36"/>
      <c r="L4" s="36"/>
      <c r="M4" s="34"/>
      <c r="N4" s="34"/>
      <c r="O4" s="34"/>
    </row>
    <row r="5" spans="1:15" ht="15" customHeight="1" x14ac:dyDescent="0.25"/>
    <row r="35" spans="29:29" x14ac:dyDescent="0.25">
      <c r="AC35" t="s">
        <v>197</v>
      </c>
    </row>
  </sheetData>
  <mergeCells count="10">
    <mergeCell ref="M2:O2"/>
    <mergeCell ref="A3:C4"/>
    <mergeCell ref="D3:F4"/>
    <mergeCell ref="G3:I4"/>
    <mergeCell ref="J3:L4"/>
    <mergeCell ref="M3:O4"/>
    <mergeCell ref="D2:F2"/>
    <mergeCell ref="G2:I2"/>
    <mergeCell ref="J2:L2"/>
    <mergeCell ref="A2:C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7B6C-5B75-48A1-A399-393273C2970A}">
  <dimension ref="A1:I25"/>
  <sheetViews>
    <sheetView workbookViewId="0">
      <selection activeCell="J17" sqref="J17"/>
    </sheetView>
  </sheetViews>
  <sheetFormatPr defaultRowHeight="15" x14ac:dyDescent="0.25"/>
  <cols>
    <col min="5" max="5" width="12.28515625" bestFit="1" customWidth="1"/>
  </cols>
  <sheetData>
    <row r="1" spans="1:9" x14ac:dyDescent="0.25">
      <c r="A1" s="30" t="s">
        <v>189</v>
      </c>
      <c r="B1" s="30"/>
      <c r="C1" s="30"/>
      <c r="D1" s="30"/>
    </row>
    <row r="2" spans="1:9" x14ac:dyDescent="0.25">
      <c r="A2" s="30"/>
      <c r="B2" s="30"/>
      <c r="C2" s="30"/>
      <c r="D2" s="30"/>
    </row>
    <row r="3" spans="1:9" x14ac:dyDescent="0.25">
      <c r="A3" s="30"/>
      <c r="B3" s="30"/>
      <c r="C3" s="30"/>
      <c r="D3" s="30"/>
    </row>
    <row r="5" spans="1:9" ht="18" x14ac:dyDescent="0.25">
      <c r="A5" s="31" t="s">
        <v>190</v>
      </c>
      <c r="B5" s="31"/>
      <c r="C5" s="31"/>
      <c r="D5" s="31"/>
      <c r="E5" s="31"/>
    </row>
    <row r="7" spans="1:9" ht="18.75" x14ac:dyDescent="0.3">
      <c r="A7" s="32" t="s">
        <v>163</v>
      </c>
      <c r="B7" s="32"/>
      <c r="C7" s="32"/>
      <c r="D7" s="32"/>
      <c r="E7" s="27">
        <f>Analysis!B9</f>
        <v>88310</v>
      </c>
    </row>
    <row r="8" spans="1:9" ht="18.75" x14ac:dyDescent="0.3">
      <c r="A8" s="32" t="s">
        <v>154</v>
      </c>
      <c r="B8" s="32"/>
      <c r="C8" s="32"/>
      <c r="D8" s="32"/>
      <c r="E8" s="28">
        <f>Analysis!B10</f>
        <v>30</v>
      </c>
    </row>
    <row r="9" spans="1:9" ht="18.75" x14ac:dyDescent="0.3">
      <c r="A9" s="32" t="s">
        <v>191</v>
      </c>
      <c r="B9" s="32"/>
      <c r="C9" s="32"/>
      <c r="D9" s="32"/>
      <c r="E9" s="27">
        <f>Analysis!B11</f>
        <v>2943.6666666666665</v>
      </c>
    </row>
    <row r="10" spans="1:9" ht="18.75" x14ac:dyDescent="0.3">
      <c r="A10" s="32" t="s">
        <v>192</v>
      </c>
      <c r="B10" s="32"/>
      <c r="C10" s="32"/>
      <c r="D10" s="32"/>
      <c r="E10" s="29">
        <f>Analysis!C26</f>
        <v>6.6666666666666666E-2</v>
      </c>
    </row>
    <row r="11" spans="1:9" ht="18.75" x14ac:dyDescent="0.3">
      <c r="A11" s="32" t="s">
        <v>165</v>
      </c>
      <c r="B11" s="32"/>
      <c r="C11" s="32"/>
      <c r="D11" s="32"/>
      <c r="E11" s="27">
        <f>Analysis!B14</f>
        <v>16790</v>
      </c>
    </row>
    <row r="12" spans="1:9" ht="18.75" x14ac:dyDescent="0.3">
      <c r="A12" s="32" t="s">
        <v>193</v>
      </c>
      <c r="B12" s="32"/>
      <c r="C12" s="32"/>
      <c r="D12" s="32"/>
      <c r="E12" s="29">
        <f>Analysis!B13</f>
        <v>0.80987430642056391</v>
      </c>
    </row>
    <row r="15" spans="1:9" ht="18" x14ac:dyDescent="0.25">
      <c r="A15" s="31" t="s">
        <v>194</v>
      </c>
      <c r="B15" s="31"/>
      <c r="C15" s="31"/>
      <c r="D15" s="31"/>
      <c r="E15" s="31"/>
      <c r="F15" s="31"/>
      <c r="G15" s="31"/>
      <c r="H15" s="31"/>
      <c r="I15" s="26"/>
    </row>
    <row r="25" spans="1:8" ht="18" x14ac:dyDescent="0.25">
      <c r="A25" s="31" t="s">
        <v>195</v>
      </c>
      <c r="B25" s="31"/>
      <c r="C25" s="31"/>
      <c r="D25" s="31"/>
      <c r="E25" s="31"/>
      <c r="F25" s="31"/>
      <c r="G25" s="31"/>
      <c r="H25" s="31"/>
    </row>
  </sheetData>
  <mergeCells count="10">
    <mergeCell ref="A1:D3"/>
    <mergeCell ref="A5:E5"/>
    <mergeCell ref="A15:H15"/>
    <mergeCell ref="A25:H25"/>
    <mergeCell ref="A11:D11"/>
    <mergeCell ref="A12:D12"/>
    <mergeCell ref="A7:D7"/>
    <mergeCell ref="A8:D8"/>
    <mergeCell ref="A9:D9"/>
    <mergeCell ref="A10:D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74E64-A7D9-4724-AD8C-C0C2D09558E2}">
  <dimension ref="A1:L34"/>
  <sheetViews>
    <sheetView workbookViewId="0">
      <selection activeCell="D13" sqref="D13"/>
    </sheetView>
  </sheetViews>
  <sheetFormatPr defaultRowHeight="15" x14ac:dyDescent="0.25"/>
  <cols>
    <col min="1" max="1" width="58.140625" bestFit="1" customWidth="1"/>
    <col min="2" max="2" width="11.5703125" bestFit="1" customWidth="1"/>
    <col min="3" max="3" width="10.5703125" bestFit="1" customWidth="1"/>
    <col min="6" max="6" width="22.5703125" bestFit="1" customWidth="1"/>
    <col min="7" max="7" width="24.42578125" bestFit="1" customWidth="1"/>
    <col min="8" max="8" width="29.140625" customWidth="1"/>
    <col min="9" max="9" width="12" bestFit="1" customWidth="1"/>
    <col min="10" max="10" width="11.7109375" bestFit="1" customWidth="1"/>
    <col min="11" max="11" width="14.85546875" bestFit="1" customWidth="1"/>
    <col min="12" max="12" width="18" bestFit="1" customWidth="1"/>
  </cols>
  <sheetData>
    <row r="1" spans="1:12" ht="15" customHeight="1" x14ac:dyDescent="0.35">
      <c r="A1" s="25" t="s">
        <v>159</v>
      </c>
      <c r="B1" s="10"/>
      <c r="C1" s="10"/>
      <c r="D1" s="10"/>
    </row>
    <row r="2" spans="1:12" ht="15" customHeight="1" x14ac:dyDescent="0.35">
      <c r="A2" s="10"/>
      <c r="B2" s="10"/>
      <c r="C2" s="10"/>
      <c r="D2" s="10"/>
      <c r="F2" s="11" t="s">
        <v>148</v>
      </c>
      <c r="G2" s="12" t="s">
        <v>149</v>
      </c>
      <c r="H2" s="11" t="s">
        <v>150</v>
      </c>
      <c r="I2" s="11" t="s">
        <v>151</v>
      </c>
      <c r="J2" s="11" t="s">
        <v>183</v>
      </c>
      <c r="K2" s="11" t="s">
        <v>184</v>
      </c>
      <c r="L2" s="11" t="s">
        <v>139</v>
      </c>
    </row>
    <row r="3" spans="1:12" x14ac:dyDescent="0.25">
      <c r="A3" s="7" t="s">
        <v>160</v>
      </c>
      <c r="F3" t="str" cm="1">
        <f t="array" ref="F3:F7">_xlfn.UNIQUE(tbl_quickmart[City])</f>
        <v>Delhi</v>
      </c>
      <c r="G3" t="str" cm="1">
        <f t="array" ref="G3:G6">_xlfn.UNIQUE(tbl_quickmart[Product_Category])</f>
        <v>Electronics</v>
      </c>
      <c r="H3" t="str" cm="1">
        <f t="array" ref="H3:H5">_xlfn.UNIQUE(tbl_quickmart[Store_Type])</f>
        <v>Mall</v>
      </c>
      <c r="I3" t="str" cm="1">
        <f t="array" ref="I3:I5">_xlfn.UNIQUE(tbl_quickmart[Order_Status])</f>
        <v>Delivered</v>
      </c>
      <c r="J3" t="str" cm="1">
        <f t="array" ref="J3:J4">_xlfn.UNIQUE(tbl_quickmart[High_Value_Order])</f>
        <v>Normal</v>
      </c>
      <c r="K3" t="str" cm="1">
        <f t="array" ref="K3:K5">_xlfn.UNIQUE(tbl_quickmart[Discount_Level IFS])</f>
        <v>Low</v>
      </c>
      <c r="L3" t="str" cm="1">
        <f t="array" ref="L3:L4">_xlfn.UNIQUE(tbl_quickmart[Payment_Category])</f>
        <v>Digital</v>
      </c>
    </row>
    <row r="4" spans="1:12" x14ac:dyDescent="0.25">
      <c r="A4" s="7"/>
      <c r="F4" t="str">
        <v>Mumbai</v>
      </c>
      <c r="G4" t="str">
        <v>Fashion</v>
      </c>
      <c r="H4" t="str">
        <v>Online</v>
      </c>
      <c r="I4" t="str">
        <v>Returned</v>
      </c>
      <c r="J4" t="str">
        <v>High</v>
      </c>
      <c r="K4" t="str">
        <v>NO Discount</v>
      </c>
      <c r="L4" t="str">
        <v>Cash</v>
      </c>
    </row>
    <row r="5" spans="1:12" x14ac:dyDescent="0.25">
      <c r="A5" s="7" t="s">
        <v>161</v>
      </c>
      <c r="F5" t="str">
        <v>Bangalore</v>
      </c>
      <c r="G5" t="str">
        <v>Grocery</v>
      </c>
      <c r="H5" t="str">
        <v>High Street</v>
      </c>
      <c r="I5" t="str">
        <v>Cancelled</v>
      </c>
      <c r="K5" t="str">
        <v>High</v>
      </c>
    </row>
    <row r="6" spans="1:12" x14ac:dyDescent="0.25">
      <c r="F6" t="str">
        <v>Chennai</v>
      </c>
      <c r="G6" t="str">
        <v>Beauty</v>
      </c>
    </row>
    <row r="7" spans="1:12" x14ac:dyDescent="0.25">
      <c r="F7" t="str">
        <v>Kolkata</v>
      </c>
    </row>
    <row r="8" spans="1:12" x14ac:dyDescent="0.25">
      <c r="A8" s="16" t="s">
        <v>162</v>
      </c>
      <c r="B8" s="13"/>
    </row>
    <row r="9" spans="1:12" x14ac:dyDescent="0.25">
      <c r="A9" s="18" t="s">
        <v>163</v>
      </c>
      <c r="B9" s="17">
        <f>SUM(tbl_quickmart[Net_Revenue])</f>
        <v>88310</v>
      </c>
      <c r="F9" s="23" t="s">
        <v>154</v>
      </c>
      <c r="G9" s="24" t="s">
        <v>152</v>
      </c>
      <c r="H9" s="24" t="s">
        <v>153</v>
      </c>
    </row>
    <row r="10" spans="1:12" x14ac:dyDescent="0.25">
      <c r="A10" s="18" t="s">
        <v>154</v>
      </c>
      <c r="B10" s="13">
        <f>F10</f>
        <v>30</v>
      </c>
      <c r="F10" s="20">
        <f>COUNTA(tbl_quickmart[Order_ID])</f>
        <v>30</v>
      </c>
      <c r="G10" s="20">
        <f>COUNTIF(tbl_quickmart[Order_Status],Analysis!I3)</f>
        <v>25</v>
      </c>
      <c r="H10" s="20">
        <f>COUNTIF(tbl_quickmart[Order_Status],Analysis!I5)</f>
        <v>2</v>
      </c>
    </row>
    <row r="11" spans="1:12" x14ac:dyDescent="0.25">
      <c r="A11" s="18" t="s">
        <v>178</v>
      </c>
      <c r="B11" s="17">
        <f>B9/B10</f>
        <v>2943.6666666666665</v>
      </c>
    </row>
    <row r="12" spans="1:12" x14ac:dyDescent="0.25">
      <c r="A12" s="18" t="s">
        <v>158</v>
      </c>
      <c r="B12" s="14">
        <f>SUMIFS(tbl_quickmart[Net_Revenue],tbl_quickmart[Order_Status],Analysis!I3)</f>
        <v>71520</v>
      </c>
      <c r="F12" s="19" t="s">
        <v>177</v>
      </c>
      <c r="G12" s="20"/>
      <c r="H12" s="20"/>
    </row>
    <row r="13" spans="1:12" x14ac:dyDescent="0.25">
      <c r="A13" s="18" t="s">
        <v>164</v>
      </c>
      <c r="B13" s="15">
        <f>B12/B9</f>
        <v>0.80987430642056391</v>
      </c>
      <c r="F13" s="19" t="s">
        <v>155</v>
      </c>
      <c r="G13" s="20"/>
      <c r="H13" s="20"/>
    </row>
    <row r="14" spans="1:12" x14ac:dyDescent="0.25">
      <c r="A14" s="18" t="s">
        <v>165</v>
      </c>
      <c r="B14" s="14">
        <f>SUM(SUMIFS(tbl_quickmart[Net_Revenue],tbl_quickmart[Order_Status],Analysis!I5),SUMIFS(tbl_quickmart[Net_Revenue],tbl_quickmart[Order_Status],Analysis!I4))</f>
        <v>16790</v>
      </c>
      <c r="E14" s="7"/>
      <c r="F14" s="19" t="s">
        <v>156</v>
      </c>
      <c r="G14" s="19" t="s">
        <v>157</v>
      </c>
      <c r="H14" s="19" t="s">
        <v>188</v>
      </c>
    </row>
    <row r="15" spans="1:12" x14ac:dyDescent="0.25">
      <c r="A15" s="18" t="s">
        <v>166</v>
      </c>
      <c r="B15" s="15">
        <f>B14/B9</f>
        <v>0.19012569357943607</v>
      </c>
      <c r="F15" s="20" t="str" cm="1">
        <f t="array" ref="F15:F19">_xlfn.UNIQUE(tbl_quickmart[City])</f>
        <v>Delhi</v>
      </c>
      <c r="G15" s="21">
        <f>SUMIFS(tbl_quickmart[Net_Revenue],tbl_quickmart[City],Analysis!F15)</f>
        <v>18290</v>
      </c>
      <c r="H15" s="22">
        <f>G15/$B$9</f>
        <v>0.20711131242214925</v>
      </c>
    </row>
    <row r="16" spans="1:12" x14ac:dyDescent="0.25">
      <c r="F16" s="20" t="str">
        <v>Mumbai</v>
      </c>
      <c r="G16" s="21">
        <f>SUMIFS(tbl_quickmart[Net_Revenue],tbl_quickmart[City],Analysis!F16)</f>
        <v>12940</v>
      </c>
      <c r="H16" s="22">
        <f>G16/$B$9</f>
        <v>0.14652927188313894</v>
      </c>
    </row>
    <row r="17" spans="1:8" x14ac:dyDescent="0.25">
      <c r="F17" s="20" t="str">
        <v>Bangalore</v>
      </c>
      <c r="G17" s="21">
        <f>SUMIFS(tbl_quickmart[Net_Revenue],tbl_quickmart[City],Analysis!F17)</f>
        <v>31840</v>
      </c>
      <c r="H17" s="22">
        <f>G17/$B$9</f>
        <v>0.36054806930132488</v>
      </c>
    </row>
    <row r="18" spans="1:8" x14ac:dyDescent="0.25">
      <c r="A18" s="16" t="s">
        <v>167</v>
      </c>
      <c r="B18" s="13"/>
      <c r="C18" s="13"/>
      <c r="F18" s="20" t="str">
        <v>Chennai</v>
      </c>
      <c r="G18" s="21">
        <f>SUMIFS(tbl_quickmart[Net_Revenue],tbl_quickmart[City],Analysis!F18)</f>
        <v>11230</v>
      </c>
      <c r="H18" s="22">
        <f>G18/$B$9</f>
        <v>0.12716566640244592</v>
      </c>
    </row>
    <row r="19" spans="1:8" x14ac:dyDescent="0.25">
      <c r="A19" s="18" t="s">
        <v>168</v>
      </c>
      <c r="B19" s="14">
        <f>LARGE(G15:G19,1)</f>
        <v>31840</v>
      </c>
      <c r="C19" s="13" t="str">
        <f>INDEX(_xlfn.ANCHORARRAY(F15),MATCH(B19,G15:G19,0))</f>
        <v>Bangalore</v>
      </c>
      <c r="F19" s="20" t="str">
        <v>Kolkata</v>
      </c>
      <c r="G19" s="21">
        <f>SUMIFS(tbl_quickmart[Net_Revenue],tbl_quickmart[City],Analysis!F19)</f>
        <v>14010</v>
      </c>
      <c r="H19" s="22">
        <f>G19/$B$9</f>
        <v>0.15864567999094101</v>
      </c>
    </row>
    <row r="20" spans="1:8" x14ac:dyDescent="0.25">
      <c r="A20" s="18" t="s">
        <v>169</v>
      </c>
      <c r="B20" s="14">
        <f>MIN(G15:G19)</f>
        <v>11230</v>
      </c>
      <c r="C20" s="13" t="str">
        <f>INDEX(_xlfn.ANCHORARRAY(F15),MATCH(B20,G15:G19,0))</f>
        <v>Chennai</v>
      </c>
      <c r="F20" s="20"/>
      <c r="G20" s="20"/>
      <c r="H20" s="20"/>
    </row>
    <row r="21" spans="1:8" x14ac:dyDescent="0.25">
      <c r="A21" s="18" t="s">
        <v>170</v>
      </c>
      <c r="B21" s="17">
        <f>MAX(G23:G26)</f>
        <v>47880</v>
      </c>
      <c r="C21" s="13" t="str">
        <f>INDEX(_xlfn.ANCHORARRAY(F23),MATCH(B21,G23:G26,0))</f>
        <v>Electronics</v>
      </c>
      <c r="F21" s="19" t="s">
        <v>179</v>
      </c>
      <c r="G21" s="20"/>
      <c r="H21" s="20"/>
    </row>
    <row r="22" spans="1:8" x14ac:dyDescent="0.25">
      <c r="A22" s="18" t="s">
        <v>171</v>
      </c>
      <c r="B22" s="17">
        <f>MAX(G30:G32)</f>
        <v>51235</v>
      </c>
      <c r="C22" s="13" t="str">
        <f>INDEX(_xlfn.ANCHORARRAY(F30),MATCH(B22,G30:G32,0))</f>
        <v>Mall</v>
      </c>
      <c r="F22" s="19" t="s">
        <v>180</v>
      </c>
      <c r="G22" s="19" t="s">
        <v>47</v>
      </c>
      <c r="H22" s="20"/>
    </row>
    <row r="23" spans="1:8" x14ac:dyDescent="0.25">
      <c r="A23" s="6"/>
      <c r="F23" s="20" t="str" cm="1">
        <f t="array" ref="F23:F26">_xlfn.UNIQUE(tbl_quickmart[Product_Category])</f>
        <v>Electronics</v>
      </c>
      <c r="G23" s="21">
        <f>SUMIFS(tbl_quickmart[Net_Revenue],tbl_quickmart[Product_Category],Analysis!F23)</f>
        <v>47880</v>
      </c>
      <c r="H23" s="20"/>
    </row>
    <row r="24" spans="1:8" x14ac:dyDescent="0.25">
      <c r="F24" s="20" t="str">
        <v>Fashion</v>
      </c>
      <c r="G24" s="21">
        <f>SUMIFS(tbl_quickmart[Net_Revenue],tbl_quickmart[Product_Category],Analysis!F24)</f>
        <v>25315</v>
      </c>
      <c r="H24" s="20"/>
    </row>
    <row r="25" spans="1:8" x14ac:dyDescent="0.25">
      <c r="A25" s="16" t="s">
        <v>172</v>
      </c>
      <c r="B25" s="13"/>
      <c r="C25" s="13"/>
      <c r="F25" s="20" t="str">
        <v>Grocery</v>
      </c>
      <c r="G25" s="21">
        <f>SUMIFS(tbl_quickmart[Net_Revenue],tbl_quickmart[Product_Category],Analysis!F25)</f>
        <v>7440</v>
      </c>
      <c r="H25" s="20"/>
    </row>
    <row r="26" spans="1:8" x14ac:dyDescent="0.25">
      <c r="A26" s="18" t="s">
        <v>173</v>
      </c>
      <c r="B26" s="13">
        <f>COUNTIFS(tbl_quickmart[Order_Status],Analysis!I5)</f>
        <v>2</v>
      </c>
      <c r="C26" s="15">
        <f>B26/B10</f>
        <v>6.6666666666666666E-2</v>
      </c>
      <c r="F26" s="20" t="str">
        <v>Beauty</v>
      </c>
      <c r="G26" s="21">
        <f>SUMIFS(tbl_quickmart[Net_Revenue],tbl_quickmart[Product_Category],Analysis!F26)</f>
        <v>7675</v>
      </c>
      <c r="H26" s="20"/>
    </row>
    <row r="27" spans="1:8" x14ac:dyDescent="0.25">
      <c r="A27" s="18" t="s">
        <v>174</v>
      </c>
      <c r="B27" s="13">
        <f>COUNTIFS(tbl_quickmart[Order_Status],Analysis!I4)</f>
        <v>3</v>
      </c>
      <c r="C27" s="15">
        <f>B27/B10</f>
        <v>0.1</v>
      </c>
      <c r="F27" s="20"/>
      <c r="G27" s="20"/>
      <c r="H27" s="20"/>
    </row>
    <row r="28" spans="1:8" x14ac:dyDescent="0.25">
      <c r="A28" s="18" t="s">
        <v>175</v>
      </c>
      <c r="B28" s="13">
        <f>COUNTIFS(tbl_quickmart[High_Value_Order],Analysis!J4)</f>
        <v>4</v>
      </c>
      <c r="C28" s="13"/>
      <c r="F28" s="19" t="s">
        <v>182</v>
      </c>
      <c r="G28" s="20"/>
      <c r="H28" s="20"/>
    </row>
    <row r="29" spans="1:8" x14ac:dyDescent="0.25">
      <c r="A29" s="18" t="s">
        <v>176</v>
      </c>
      <c r="B29" s="14">
        <f>SUMIFS(tbl_quickmart[Net_Revenue],tbl_quickmart[Discount_Level IFS],Analysis!K5)</f>
        <v>26525</v>
      </c>
      <c r="C29" s="13"/>
      <c r="F29" s="20" t="s">
        <v>181</v>
      </c>
      <c r="G29" s="20" t="s">
        <v>47</v>
      </c>
      <c r="H29" s="20"/>
    </row>
    <row r="30" spans="1:8" x14ac:dyDescent="0.25">
      <c r="A30" s="6"/>
      <c r="F30" s="20" t="str" cm="1">
        <f t="array" ref="F30:F32">_xlfn.UNIQUE(tbl_quickmart[Store_Type])</f>
        <v>Mall</v>
      </c>
      <c r="G30" s="21">
        <f>SUMIFS(tbl_quickmart[Net_Revenue],tbl_quickmart[Store_Type],Analysis!F30)</f>
        <v>51235</v>
      </c>
      <c r="H30" s="20"/>
    </row>
    <row r="31" spans="1:8" x14ac:dyDescent="0.25">
      <c r="F31" s="20" t="str">
        <v>Online</v>
      </c>
      <c r="G31" s="21">
        <f>SUMIFS(tbl_quickmart[Net_Revenue],tbl_quickmart[Store_Type],Analysis!F31)</f>
        <v>28030</v>
      </c>
      <c r="H31" s="20"/>
    </row>
    <row r="32" spans="1:8" x14ac:dyDescent="0.25">
      <c r="A32" s="16" t="s">
        <v>185</v>
      </c>
      <c r="B32" s="13"/>
      <c r="C32" s="13"/>
      <c r="F32" s="20" t="str">
        <v>High Street</v>
      </c>
      <c r="G32" s="21">
        <f>SUMIFS(tbl_quickmart[Net_Revenue],tbl_quickmart[Store_Type],Analysis!F32)</f>
        <v>9045</v>
      </c>
      <c r="H32" s="20"/>
    </row>
    <row r="33" spans="1:3" x14ac:dyDescent="0.25">
      <c r="A33" s="18" t="s">
        <v>186</v>
      </c>
      <c r="B33" s="14">
        <f>SUMIFS(tbl_quickmart[Net_Revenue],tbl_quickmart[Payment_Category],Analysis!L3)</f>
        <v>80870</v>
      </c>
      <c r="C33" s="15">
        <f>B33/$B$9</f>
        <v>0.91575133054014268</v>
      </c>
    </row>
    <row r="34" spans="1:3" x14ac:dyDescent="0.25">
      <c r="A34" s="18" t="s">
        <v>187</v>
      </c>
      <c r="B34" s="14">
        <f>SUMIFS(tbl_quickmart[Net_Revenue],tbl_quickmart[Payment_Category],Analysis!L4)</f>
        <v>7440</v>
      </c>
      <c r="C34" s="15">
        <f>B34/$B$9</f>
        <v>8.4248669459857317E-2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4DCC5-4936-4E28-BB51-1BF45A42176E}">
  <dimension ref="A1:B9"/>
  <sheetViews>
    <sheetView workbookViewId="0">
      <selection activeCell="Q21" sqref="Q21"/>
    </sheetView>
  </sheetViews>
  <sheetFormatPr defaultRowHeight="15" x14ac:dyDescent="0.25"/>
  <cols>
    <col min="1" max="1" width="13.140625" bestFit="1" customWidth="1"/>
    <col min="2" max="2" width="20" bestFit="1" customWidth="1"/>
    <col min="3" max="3" width="17.28515625" bestFit="1" customWidth="1"/>
  </cols>
  <sheetData>
    <row r="1" spans="1:2" x14ac:dyDescent="0.25">
      <c r="A1" s="2" t="s">
        <v>46</v>
      </c>
      <c r="B1" t="s">
        <v>144</v>
      </c>
    </row>
    <row r="3" spans="1:2" x14ac:dyDescent="0.25">
      <c r="A3" s="2" t="s">
        <v>141</v>
      </c>
      <c r="B3" t="s">
        <v>143</v>
      </c>
    </row>
    <row r="4" spans="1:2" x14ac:dyDescent="0.25">
      <c r="A4" s="3" t="s">
        <v>68</v>
      </c>
      <c r="B4" s="4">
        <v>31840</v>
      </c>
    </row>
    <row r="5" spans="1:2" x14ac:dyDescent="0.25">
      <c r="A5" s="3" t="s">
        <v>51</v>
      </c>
      <c r="B5" s="4">
        <v>18290</v>
      </c>
    </row>
    <row r="6" spans="1:2" x14ac:dyDescent="0.25">
      <c r="A6" s="3" t="s">
        <v>89</v>
      </c>
      <c r="B6" s="4">
        <v>14010</v>
      </c>
    </row>
    <row r="7" spans="1:2" x14ac:dyDescent="0.25">
      <c r="A7" s="3" t="s">
        <v>60</v>
      </c>
      <c r="B7" s="4">
        <v>12940</v>
      </c>
    </row>
    <row r="8" spans="1:2" x14ac:dyDescent="0.25">
      <c r="A8" s="3" t="s">
        <v>79</v>
      </c>
      <c r="B8" s="4">
        <v>11230</v>
      </c>
    </row>
    <row r="9" spans="1:2" x14ac:dyDescent="0.25">
      <c r="A9" s="3" t="s">
        <v>142</v>
      </c>
      <c r="B9" s="4">
        <v>88310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2EDA-F540-43BB-AB96-5A8305C4C3B3}">
  <dimension ref="A3:B8"/>
  <sheetViews>
    <sheetView workbookViewId="0">
      <selection activeCell="I7" sqref="I7"/>
    </sheetView>
  </sheetViews>
  <sheetFormatPr defaultRowHeight="15" x14ac:dyDescent="0.25"/>
  <cols>
    <col min="1" max="1" width="13.140625" bestFit="1" customWidth="1"/>
    <col min="2" max="2" width="20" bestFit="1" customWidth="1"/>
    <col min="3" max="4" width="9" bestFit="1" customWidth="1"/>
    <col min="5" max="5" width="11.28515625" bestFit="1" customWidth="1"/>
    <col min="6" max="6" width="20" bestFit="1" customWidth="1"/>
    <col min="7" max="7" width="21.7109375" bestFit="1" customWidth="1"/>
    <col min="8" max="8" width="25" bestFit="1" customWidth="1"/>
    <col min="9" max="9" width="26.7109375" bestFit="1" customWidth="1"/>
    <col min="10" max="10" width="25" bestFit="1" customWidth="1"/>
    <col min="11" max="11" width="26.7109375" bestFit="1" customWidth="1"/>
  </cols>
  <sheetData>
    <row r="3" spans="1:2" x14ac:dyDescent="0.25">
      <c r="A3" s="2" t="s">
        <v>141</v>
      </c>
      <c r="B3" t="s">
        <v>143</v>
      </c>
    </row>
    <row r="4" spans="1:2" x14ac:dyDescent="0.25">
      <c r="A4" s="3" t="s">
        <v>84</v>
      </c>
      <c r="B4" s="5">
        <v>7675</v>
      </c>
    </row>
    <row r="5" spans="1:2" x14ac:dyDescent="0.25">
      <c r="A5" s="3" t="s">
        <v>55</v>
      </c>
      <c r="B5" s="5">
        <v>47880</v>
      </c>
    </row>
    <row r="6" spans="1:2" x14ac:dyDescent="0.25">
      <c r="A6" s="3" t="s">
        <v>65</v>
      </c>
      <c r="B6" s="5">
        <v>25315</v>
      </c>
    </row>
    <row r="7" spans="1:2" x14ac:dyDescent="0.25">
      <c r="A7" s="3" t="s">
        <v>72</v>
      </c>
      <c r="B7" s="5">
        <v>7440</v>
      </c>
    </row>
    <row r="8" spans="1:2" x14ac:dyDescent="0.25">
      <c r="A8" s="3" t="s">
        <v>142</v>
      </c>
      <c r="B8" s="5">
        <v>88310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F00DB-5DBF-4255-AE9C-5DD49918B334}">
  <dimension ref="A1:W37"/>
  <sheetViews>
    <sheetView zoomScale="82" workbookViewId="0">
      <pane ySplit="1" topLeftCell="A2" activePane="bottomLeft" state="frozen"/>
      <selection activeCell="F1" sqref="F1"/>
      <selection pane="bottomLeft" activeCell="F22" sqref="F22"/>
    </sheetView>
  </sheetViews>
  <sheetFormatPr defaultRowHeight="15" x14ac:dyDescent="0.25"/>
  <cols>
    <col min="1" max="1" width="19.42578125" customWidth="1"/>
    <col min="2" max="2" width="18.140625" customWidth="1"/>
    <col min="3" max="3" width="19.140625" customWidth="1"/>
    <col min="4" max="4" width="12.85546875" bestFit="1" customWidth="1"/>
    <col min="5" max="5" width="15.7109375" customWidth="1"/>
    <col min="6" max="6" width="13.28515625" bestFit="1" customWidth="1"/>
    <col min="7" max="7" width="14.7109375" bestFit="1" customWidth="1"/>
    <col min="8" max="8" width="10" bestFit="1" customWidth="1"/>
    <col min="9" max="9" width="20" bestFit="1" customWidth="1"/>
    <col min="10" max="10" width="19.140625" bestFit="1" customWidth="1"/>
    <col min="11" max="11" width="16.5703125" bestFit="1" customWidth="1"/>
    <col min="12" max="12" width="12.5703125" bestFit="1" customWidth="1"/>
    <col min="13" max="13" width="16.42578125" bestFit="1" customWidth="1"/>
    <col min="14" max="14" width="13.5703125" bestFit="1" customWidth="1"/>
    <col min="15" max="15" width="19.5703125" bestFit="1" customWidth="1"/>
    <col min="16" max="16" width="14.85546875" bestFit="1" customWidth="1"/>
    <col min="17" max="17" width="20.5703125" customWidth="1"/>
    <col min="18" max="18" width="19.28515625" bestFit="1" customWidth="1"/>
    <col min="19" max="19" width="15.5703125" bestFit="1" customWidth="1"/>
    <col min="20" max="20" width="13.28515625" bestFit="1" customWidth="1"/>
    <col min="21" max="21" width="20.7109375" bestFit="1" customWidth="1"/>
    <col min="22" max="22" width="13.42578125" bestFit="1" customWidth="1"/>
    <col min="23" max="24" width="20.140625" bestFit="1" customWidth="1"/>
  </cols>
  <sheetData>
    <row r="1" spans="1:23" x14ac:dyDescent="0.25">
      <c r="A1" t="s">
        <v>32</v>
      </c>
      <c r="B1" t="s">
        <v>33</v>
      </c>
      <c r="C1" t="s">
        <v>34</v>
      </c>
      <c r="D1" t="s">
        <v>35</v>
      </c>
      <c r="E1" t="s">
        <v>36</v>
      </c>
      <c r="F1" t="s">
        <v>37</v>
      </c>
      <c r="G1" t="s">
        <v>38</v>
      </c>
      <c r="H1" t="s">
        <v>39</v>
      </c>
      <c r="I1" t="s">
        <v>40</v>
      </c>
      <c r="J1" t="s">
        <v>41</v>
      </c>
      <c r="K1" t="s">
        <v>42</v>
      </c>
      <c r="L1" t="s">
        <v>43</v>
      </c>
      <c r="M1" t="s">
        <v>44</v>
      </c>
      <c r="N1" t="s">
        <v>45</v>
      </c>
      <c r="O1" t="s">
        <v>46</v>
      </c>
      <c r="P1" t="s">
        <v>47</v>
      </c>
      <c r="Q1" t="s">
        <v>48</v>
      </c>
      <c r="R1" t="s">
        <v>49</v>
      </c>
      <c r="S1" t="s">
        <v>50</v>
      </c>
      <c r="T1" t="s">
        <v>139</v>
      </c>
      <c r="U1" t="s">
        <v>140</v>
      </c>
      <c r="V1" t="s">
        <v>146</v>
      </c>
      <c r="W1" t="s">
        <v>147</v>
      </c>
    </row>
    <row r="2" spans="1:23" x14ac:dyDescent="0.25">
      <c r="A2">
        <v>1001</v>
      </c>
      <c r="B2" s="1">
        <v>45292</v>
      </c>
      <c r="C2" t="s">
        <v>51</v>
      </c>
      <c r="D2" t="s">
        <v>51</v>
      </c>
      <c r="E2" t="s">
        <v>52</v>
      </c>
      <c r="F2" t="s">
        <v>53</v>
      </c>
      <c r="G2" t="s">
        <v>54</v>
      </c>
      <c r="H2">
        <v>25</v>
      </c>
      <c r="I2" t="s">
        <v>55</v>
      </c>
      <c r="J2" t="s">
        <v>56</v>
      </c>
      <c r="K2">
        <v>2</v>
      </c>
      <c r="L2" s="9">
        <v>1500</v>
      </c>
      <c r="M2">
        <v>10</v>
      </c>
      <c r="N2" t="s">
        <v>57</v>
      </c>
      <c r="O2" t="s">
        <v>58</v>
      </c>
      <c r="P2" s="9">
        <v>3000</v>
      </c>
      <c r="Q2" s="9">
        <v>300</v>
      </c>
      <c r="R2" s="9">
        <v>2700</v>
      </c>
      <c r="S2" t="s">
        <v>59</v>
      </c>
      <c r="T2" t="str">
        <f>IF(tbl_quickmart[[#This Row],[Payment_Method]]="Cash","Cash","Digital")</f>
        <v>Digital</v>
      </c>
      <c r="U2">
        <f>IF(tbl_quickmart[[#This Row],[Order_Status]]="Delivered",1,0)</f>
        <v>1</v>
      </c>
      <c r="V2" t="str">
        <f>IF(tbl_quickmart[[#This Row],[Net_Revenue]]&gt;5000,"High","Normal")</f>
        <v>Normal</v>
      </c>
      <c r="W2" t="str" cm="1">
        <f t="array" ref="W2">_xlfn.IFS(tbl_quickmart[[#This Row],[Discount_%]]=0,"NO Discount",AND(tbl_quickmart[[#This Row],[Discount_%]]&gt;0,tbl_quickmart[[#This Row],[Discount_%]]&lt;=10),"Low",tbl_quickmart[[#This Row],[Discount_%]]&gt;10,"High")</f>
        <v>Low</v>
      </c>
    </row>
    <row r="3" spans="1:23" x14ac:dyDescent="0.25">
      <c r="A3">
        <v>1002</v>
      </c>
      <c r="B3" s="1">
        <v>45293</v>
      </c>
      <c r="C3" t="s">
        <v>60</v>
      </c>
      <c r="D3" t="s">
        <v>61</v>
      </c>
      <c r="E3" t="s">
        <v>62</v>
      </c>
      <c r="F3" t="s">
        <v>63</v>
      </c>
      <c r="G3" t="s">
        <v>64</v>
      </c>
      <c r="H3">
        <v>32</v>
      </c>
      <c r="I3" t="s">
        <v>65</v>
      </c>
      <c r="J3" t="s">
        <v>66</v>
      </c>
      <c r="K3">
        <v>3</v>
      </c>
      <c r="L3" s="9">
        <v>800</v>
      </c>
      <c r="M3">
        <v>5</v>
      </c>
      <c r="N3" t="s">
        <v>67</v>
      </c>
      <c r="O3" t="s">
        <v>58</v>
      </c>
      <c r="P3" s="9">
        <v>2400</v>
      </c>
      <c r="Q3" s="9">
        <v>120</v>
      </c>
      <c r="R3" s="9">
        <v>2280</v>
      </c>
      <c r="S3" t="s">
        <v>59</v>
      </c>
      <c r="T3" t="str">
        <f>IF(tbl_quickmart[[#This Row],[Payment_Method]]="Cash","Cash","Digital")</f>
        <v>Digital</v>
      </c>
      <c r="U3">
        <f>IF(tbl_quickmart[[#This Row],[Order_Status]]="Delivered",1,0)</f>
        <v>1</v>
      </c>
      <c r="V3" t="str">
        <f>IF(tbl_quickmart[[#This Row],[Net_Revenue]]&gt;5000,"High","Normal")</f>
        <v>Normal</v>
      </c>
      <c r="W3" t="str" cm="1">
        <f t="array" ref="W3">_xlfn.IFS(tbl_quickmart[[#This Row],[Discount_%]]=0,"NO Discount",AND(tbl_quickmart[[#This Row],[Discount_%]]&gt;0,tbl_quickmart[[#This Row],[Discount_%]]&lt;=10),"Low",tbl_quickmart[[#This Row],[Discount_%]]&gt;10,"High")</f>
        <v>Low</v>
      </c>
    </row>
    <row r="4" spans="1:23" x14ac:dyDescent="0.25">
      <c r="A4">
        <v>1003</v>
      </c>
      <c r="B4" s="1">
        <v>45294</v>
      </c>
      <c r="C4" t="s">
        <v>68</v>
      </c>
      <c r="D4" t="s">
        <v>69</v>
      </c>
      <c r="E4" t="s">
        <v>70</v>
      </c>
      <c r="F4" t="s">
        <v>71</v>
      </c>
      <c r="G4" t="s">
        <v>54</v>
      </c>
      <c r="H4">
        <v>45</v>
      </c>
      <c r="I4" t="s">
        <v>72</v>
      </c>
      <c r="J4" t="s">
        <v>73</v>
      </c>
      <c r="K4">
        <v>1</v>
      </c>
      <c r="L4" s="9">
        <v>1200</v>
      </c>
      <c r="M4">
        <v>0</v>
      </c>
      <c r="N4" t="s">
        <v>74</v>
      </c>
      <c r="O4" t="s">
        <v>58</v>
      </c>
      <c r="P4" s="9">
        <v>1200</v>
      </c>
      <c r="Q4" s="9">
        <v>0</v>
      </c>
      <c r="R4" s="9">
        <v>1200</v>
      </c>
      <c r="S4" t="s">
        <v>75</v>
      </c>
      <c r="T4" t="str">
        <f>IF(tbl_quickmart[[#This Row],[Payment_Method]]="Cash","Cash","Digital")</f>
        <v>Cash</v>
      </c>
      <c r="U4">
        <f>IF(tbl_quickmart[[#This Row],[Order_Status]]="Delivered",1,0)</f>
        <v>1</v>
      </c>
      <c r="V4" t="str">
        <f>IF(tbl_quickmart[[#This Row],[Net_Revenue]]&gt;5000,"High","Normal")</f>
        <v>Normal</v>
      </c>
      <c r="W4" t="str" cm="1">
        <f t="array" ref="W4">_xlfn.IFS(tbl_quickmart[[#This Row],[Discount_%]]=0,"NO Discount",AND(tbl_quickmart[[#This Row],[Discount_%]]&gt;0,tbl_quickmart[[#This Row],[Discount_%]]&lt;=10),"Low",tbl_quickmart[[#This Row],[Discount_%]]&gt;10,"High")</f>
        <v>NO Discount</v>
      </c>
    </row>
    <row r="5" spans="1:23" x14ac:dyDescent="0.25">
      <c r="A5">
        <v>1004</v>
      </c>
      <c r="B5" s="1">
        <v>45294</v>
      </c>
      <c r="C5" t="s">
        <v>51</v>
      </c>
      <c r="D5" t="s">
        <v>51</v>
      </c>
      <c r="E5" t="s">
        <v>62</v>
      </c>
      <c r="F5" t="s">
        <v>76</v>
      </c>
      <c r="G5" t="s">
        <v>64</v>
      </c>
      <c r="H5">
        <v>29</v>
      </c>
      <c r="I5" t="s">
        <v>55</v>
      </c>
      <c r="J5" t="s">
        <v>77</v>
      </c>
      <c r="K5">
        <v>1</v>
      </c>
      <c r="L5" s="9">
        <v>5000</v>
      </c>
      <c r="M5">
        <v>15</v>
      </c>
      <c r="N5" t="s">
        <v>57</v>
      </c>
      <c r="O5" t="s">
        <v>78</v>
      </c>
      <c r="P5" s="9">
        <v>5000</v>
      </c>
      <c r="Q5" s="9">
        <v>750</v>
      </c>
      <c r="R5" s="9">
        <v>4250</v>
      </c>
      <c r="S5" t="s">
        <v>59</v>
      </c>
      <c r="T5" t="str">
        <f>IF(tbl_quickmart[[#This Row],[Payment_Method]]="Cash","Cash","Digital")</f>
        <v>Digital</v>
      </c>
      <c r="U5">
        <f>IF(tbl_quickmart[[#This Row],[Order_Status]]="Delivered",1,0)</f>
        <v>0</v>
      </c>
      <c r="V5" t="str">
        <f>IF(tbl_quickmart[[#This Row],[Net_Revenue]]&gt;5000,"High","Normal")</f>
        <v>Normal</v>
      </c>
      <c r="W5" t="str" cm="1">
        <f t="array" ref="W5">_xlfn.IFS(tbl_quickmart[[#This Row],[Discount_%]]=0,"NO Discount",AND(tbl_quickmart[[#This Row],[Discount_%]]&gt;0,tbl_quickmart[[#This Row],[Discount_%]]&lt;=10),"Low",tbl_quickmart[[#This Row],[Discount_%]]&gt;10,"High")</f>
        <v>High</v>
      </c>
    </row>
    <row r="6" spans="1:23" x14ac:dyDescent="0.25">
      <c r="A6">
        <v>1005</v>
      </c>
      <c r="B6" s="1">
        <v>45295</v>
      </c>
      <c r="C6" t="s">
        <v>79</v>
      </c>
      <c r="D6" t="s">
        <v>80</v>
      </c>
      <c r="E6" t="s">
        <v>52</v>
      </c>
      <c r="F6" t="s">
        <v>81</v>
      </c>
      <c r="G6" t="s">
        <v>54</v>
      </c>
      <c r="H6">
        <v>38</v>
      </c>
      <c r="I6" t="s">
        <v>65</v>
      </c>
      <c r="J6" t="s">
        <v>82</v>
      </c>
      <c r="K6">
        <v>2</v>
      </c>
      <c r="L6" s="9">
        <v>2500</v>
      </c>
      <c r="M6">
        <v>20</v>
      </c>
      <c r="N6" t="s">
        <v>67</v>
      </c>
      <c r="O6" t="s">
        <v>58</v>
      </c>
      <c r="P6" s="9">
        <v>5000</v>
      </c>
      <c r="Q6" s="9">
        <v>1000</v>
      </c>
      <c r="R6" s="9">
        <v>4000</v>
      </c>
      <c r="S6" t="s">
        <v>59</v>
      </c>
      <c r="T6" t="str">
        <f>IF(tbl_quickmart[[#This Row],[Payment_Method]]="Cash","Cash","Digital")</f>
        <v>Digital</v>
      </c>
      <c r="U6">
        <f>IF(tbl_quickmart[[#This Row],[Order_Status]]="Delivered",1,0)</f>
        <v>1</v>
      </c>
      <c r="V6" t="str">
        <f>IF(tbl_quickmart[[#This Row],[Net_Revenue]]&gt;5000,"High","Normal")</f>
        <v>Normal</v>
      </c>
      <c r="W6" t="str" cm="1">
        <f t="array" ref="W6">_xlfn.IFS(tbl_quickmart[[#This Row],[Discount_%]]=0,"NO Discount",AND(tbl_quickmart[[#This Row],[Discount_%]]&gt;0,tbl_quickmart[[#This Row],[Discount_%]]&lt;=10),"Low",tbl_quickmart[[#This Row],[Discount_%]]&gt;10,"High")</f>
        <v>High</v>
      </c>
    </row>
    <row r="7" spans="1:23" x14ac:dyDescent="0.25">
      <c r="A7">
        <v>1006</v>
      </c>
      <c r="B7" s="1">
        <v>45296</v>
      </c>
      <c r="C7" t="s">
        <v>60</v>
      </c>
      <c r="D7" t="s">
        <v>61</v>
      </c>
      <c r="E7" t="s">
        <v>62</v>
      </c>
      <c r="F7" t="s">
        <v>83</v>
      </c>
      <c r="G7" t="s">
        <v>64</v>
      </c>
      <c r="H7">
        <v>22</v>
      </c>
      <c r="I7" t="s">
        <v>84</v>
      </c>
      <c r="J7" t="s">
        <v>85</v>
      </c>
      <c r="K7">
        <v>4</v>
      </c>
      <c r="L7" s="9">
        <v>600</v>
      </c>
      <c r="M7">
        <v>5</v>
      </c>
      <c r="N7" t="s">
        <v>86</v>
      </c>
      <c r="O7" t="s">
        <v>87</v>
      </c>
      <c r="P7" s="9">
        <v>2400</v>
      </c>
      <c r="Q7" s="9">
        <v>120</v>
      </c>
      <c r="R7" s="9">
        <v>2280</v>
      </c>
      <c r="S7" t="s">
        <v>88</v>
      </c>
      <c r="T7" t="str">
        <f>IF(tbl_quickmart[[#This Row],[Payment_Method]]="Cash","Cash","Digital")</f>
        <v>Digital</v>
      </c>
      <c r="U7">
        <f>IF(tbl_quickmart[[#This Row],[Order_Status]]="Delivered",1,0)</f>
        <v>0</v>
      </c>
      <c r="V7" t="str">
        <f>IF(tbl_quickmart[[#This Row],[Net_Revenue]]&gt;5000,"High","Normal")</f>
        <v>Normal</v>
      </c>
      <c r="W7" t="str" cm="1">
        <f t="array" ref="W7">_xlfn.IFS(tbl_quickmart[[#This Row],[Discount_%]]=0,"NO Discount",AND(tbl_quickmart[[#This Row],[Discount_%]]&gt;0,tbl_quickmart[[#This Row],[Discount_%]]&lt;=10),"Low",tbl_quickmart[[#This Row],[Discount_%]]&gt;10,"High")</f>
        <v>Low</v>
      </c>
    </row>
    <row r="8" spans="1:23" x14ac:dyDescent="0.25">
      <c r="A8">
        <v>1007</v>
      </c>
      <c r="B8" s="1">
        <v>45297</v>
      </c>
      <c r="C8" t="s">
        <v>89</v>
      </c>
      <c r="D8" t="s">
        <v>90</v>
      </c>
      <c r="E8" t="s">
        <v>70</v>
      </c>
      <c r="F8" t="s">
        <v>91</v>
      </c>
      <c r="G8" t="s">
        <v>54</v>
      </c>
      <c r="H8">
        <v>30</v>
      </c>
      <c r="I8" t="s">
        <v>72</v>
      </c>
      <c r="J8" t="s">
        <v>92</v>
      </c>
      <c r="K8">
        <v>3</v>
      </c>
      <c r="L8" s="9">
        <v>180</v>
      </c>
      <c r="M8">
        <v>0</v>
      </c>
      <c r="N8" t="s">
        <v>74</v>
      </c>
      <c r="O8" t="s">
        <v>58</v>
      </c>
      <c r="P8" s="9">
        <v>540</v>
      </c>
      <c r="Q8" s="9">
        <v>0</v>
      </c>
      <c r="R8" s="9">
        <v>540</v>
      </c>
      <c r="S8" t="s">
        <v>59</v>
      </c>
      <c r="T8" t="str">
        <f>IF(tbl_quickmart[[#This Row],[Payment_Method]]="Cash","Cash","Digital")</f>
        <v>Cash</v>
      </c>
      <c r="U8">
        <f>IF(tbl_quickmart[[#This Row],[Order_Status]]="Delivered",1,0)</f>
        <v>1</v>
      </c>
      <c r="V8" t="str">
        <f>IF(tbl_quickmart[[#This Row],[Net_Revenue]]&gt;5000,"High","Normal")</f>
        <v>Normal</v>
      </c>
      <c r="W8" t="str" cm="1">
        <f t="array" ref="W8">_xlfn.IFS(tbl_quickmart[[#This Row],[Discount_%]]=0,"NO Discount",AND(tbl_quickmart[[#This Row],[Discount_%]]&gt;0,tbl_quickmart[[#This Row],[Discount_%]]&lt;=10),"Low",tbl_quickmart[[#This Row],[Discount_%]]&gt;10,"High")</f>
        <v>NO Discount</v>
      </c>
    </row>
    <row r="9" spans="1:23" x14ac:dyDescent="0.25">
      <c r="A9">
        <v>1008</v>
      </c>
      <c r="B9" s="1">
        <v>45298</v>
      </c>
      <c r="C9" t="s">
        <v>51</v>
      </c>
      <c r="D9" t="s">
        <v>51</v>
      </c>
      <c r="E9" t="s">
        <v>52</v>
      </c>
      <c r="F9" t="s">
        <v>93</v>
      </c>
      <c r="G9" t="s">
        <v>64</v>
      </c>
      <c r="H9">
        <v>41</v>
      </c>
      <c r="I9" t="s">
        <v>55</v>
      </c>
      <c r="J9" t="s">
        <v>94</v>
      </c>
      <c r="K9">
        <v>1</v>
      </c>
      <c r="L9" s="9">
        <v>3500</v>
      </c>
      <c r="M9">
        <v>10</v>
      </c>
      <c r="N9" t="s">
        <v>57</v>
      </c>
      <c r="O9" t="s">
        <v>58</v>
      </c>
      <c r="P9" s="9">
        <v>3500</v>
      </c>
      <c r="Q9" s="9">
        <v>350</v>
      </c>
      <c r="R9" s="9">
        <v>3150</v>
      </c>
      <c r="S9" t="s">
        <v>75</v>
      </c>
      <c r="T9" t="str">
        <f>IF(tbl_quickmart[[#This Row],[Payment_Method]]="Cash","Cash","Digital")</f>
        <v>Digital</v>
      </c>
      <c r="U9">
        <f>IF(tbl_quickmart[[#This Row],[Order_Status]]="Delivered",1,0)</f>
        <v>1</v>
      </c>
      <c r="V9" t="str">
        <f>IF(tbl_quickmart[[#This Row],[Net_Revenue]]&gt;5000,"High","Normal")</f>
        <v>Normal</v>
      </c>
      <c r="W9" t="str" cm="1">
        <f t="array" ref="W9">_xlfn.IFS(tbl_quickmart[[#This Row],[Discount_%]]=0,"NO Discount",AND(tbl_quickmart[[#This Row],[Discount_%]]&gt;0,tbl_quickmart[[#This Row],[Discount_%]]&lt;=10),"Low",tbl_quickmart[[#This Row],[Discount_%]]&gt;10,"High")</f>
        <v>Low</v>
      </c>
    </row>
    <row r="10" spans="1:23" x14ac:dyDescent="0.25">
      <c r="A10">
        <v>1009</v>
      </c>
      <c r="B10" s="1">
        <v>45299</v>
      </c>
      <c r="C10" t="s">
        <v>68</v>
      </c>
      <c r="D10" t="s">
        <v>69</v>
      </c>
      <c r="E10" t="s">
        <v>62</v>
      </c>
      <c r="F10" t="s">
        <v>95</v>
      </c>
      <c r="G10" t="s">
        <v>54</v>
      </c>
      <c r="H10">
        <v>27</v>
      </c>
      <c r="I10" t="s">
        <v>65</v>
      </c>
      <c r="J10" t="s">
        <v>96</v>
      </c>
      <c r="K10">
        <v>2</v>
      </c>
      <c r="L10" s="9">
        <v>2200</v>
      </c>
      <c r="M10">
        <v>5</v>
      </c>
      <c r="N10" t="s">
        <v>67</v>
      </c>
      <c r="O10" t="s">
        <v>58</v>
      </c>
      <c r="P10" s="9">
        <v>4400</v>
      </c>
      <c r="Q10" s="9">
        <v>220</v>
      </c>
      <c r="R10" s="9">
        <v>4180</v>
      </c>
      <c r="S10" t="s">
        <v>59</v>
      </c>
      <c r="T10" t="str">
        <f>IF(tbl_quickmart[[#This Row],[Payment_Method]]="Cash","Cash","Digital")</f>
        <v>Digital</v>
      </c>
      <c r="U10">
        <f>IF(tbl_quickmart[[#This Row],[Order_Status]]="Delivered",1,0)</f>
        <v>1</v>
      </c>
      <c r="V10" t="str">
        <f>IF(tbl_quickmart[[#This Row],[Net_Revenue]]&gt;5000,"High","Normal")</f>
        <v>Normal</v>
      </c>
      <c r="W10" t="str" cm="1">
        <f t="array" ref="W10">_xlfn.IFS(tbl_quickmart[[#This Row],[Discount_%]]=0,"NO Discount",AND(tbl_quickmart[[#This Row],[Discount_%]]&gt;0,tbl_quickmart[[#This Row],[Discount_%]]&lt;=10),"Low",tbl_quickmart[[#This Row],[Discount_%]]&gt;10,"High")</f>
        <v>Low</v>
      </c>
    </row>
    <row r="11" spans="1:23" x14ac:dyDescent="0.25">
      <c r="A11">
        <v>1010</v>
      </c>
      <c r="B11" s="1">
        <v>45300</v>
      </c>
      <c r="C11" t="s">
        <v>79</v>
      </c>
      <c r="D11" t="s">
        <v>80</v>
      </c>
      <c r="E11" t="s">
        <v>52</v>
      </c>
      <c r="F11" t="s">
        <v>97</v>
      </c>
      <c r="G11" t="s">
        <v>64</v>
      </c>
      <c r="H11">
        <v>35</v>
      </c>
      <c r="I11" t="s">
        <v>72</v>
      </c>
      <c r="J11" t="s">
        <v>98</v>
      </c>
      <c r="K11">
        <v>5</v>
      </c>
      <c r="L11" s="9">
        <v>450</v>
      </c>
      <c r="M11">
        <v>0</v>
      </c>
      <c r="N11" t="s">
        <v>74</v>
      </c>
      <c r="O11" t="s">
        <v>58</v>
      </c>
      <c r="P11" s="9">
        <v>2250</v>
      </c>
      <c r="Q11" s="9">
        <v>0</v>
      </c>
      <c r="R11" s="9">
        <v>2250</v>
      </c>
      <c r="S11" t="s">
        <v>59</v>
      </c>
      <c r="T11" t="str">
        <f>IF(tbl_quickmart[[#This Row],[Payment_Method]]="Cash","Cash","Digital")</f>
        <v>Cash</v>
      </c>
      <c r="U11">
        <f>IF(tbl_quickmart[[#This Row],[Order_Status]]="Delivered",1,0)</f>
        <v>1</v>
      </c>
      <c r="V11" t="str">
        <f>IF(tbl_quickmart[[#This Row],[Net_Revenue]]&gt;5000,"High","Normal")</f>
        <v>Normal</v>
      </c>
      <c r="W11" t="str" cm="1">
        <f t="array" ref="W11">_xlfn.IFS(tbl_quickmart[[#This Row],[Discount_%]]=0,"NO Discount",AND(tbl_quickmart[[#This Row],[Discount_%]]&gt;0,tbl_quickmart[[#This Row],[Discount_%]]&lt;=10),"Low",tbl_quickmart[[#This Row],[Discount_%]]&gt;10,"High")</f>
        <v>NO Discount</v>
      </c>
    </row>
    <row r="12" spans="1:23" x14ac:dyDescent="0.25">
      <c r="A12">
        <v>1011</v>
      </c>
      <c r="B12" s="1">
        <v>45301</v>
      </c>
      <c r="C12" t="s">
        <v>60</v>
      </c>
      <c r="D12" t="s">
        <v>61</v>
      </c>
      <c r="E12" t="s">
        <v>70</v>
      </c>
      <c r="F12" t="s">
        <v>99</v>
      </c>
      <c r="G12" t="s">
        <v>54</v>
      </c>
      <c r="H12">
        <v>28</v>
      </c>
      <c r="I12" t="s">
        <v>55</v>
      </c>
      <c r="J12" t="s">
        <v>100</v>
      </c>
      <c r="K12">
        <v>3</v>
      </c>
      <c r="L12" s="9">
        <v>1200</v>
      </c>
      <c r="M12">
        <v>10</v>
      </c>
      <c r="N12" t="s">
        <v>57</v>
      </c>
      <c r="O12" t="s">
        <v>58</v>
      </c>
      <c r="P12" s="9">
        <v>3600</v>
      </c>
      <c r="Q12" s="9">
        <v>360</v>
      </c>
      <c r="R12" s="9">
        <v>3240</v>
      </c>
      <c r="S12" t="s">
        <v>59</v>
      </c>
      <c r="T12" t="str">
        <f>IF(tbl_quickmart[[#This Row],[Payment_Method]]="Cash","Cash","Digital")</f>
        <v>Digital</v>
      </c>
      <c r="U12">
        <f>IF(tbl_quickmart[[#This Row],[Order_Status]]="Delivered",1,0)</f>
        <v>1</v>
      </c>
      <c r="V12" t="str">
        <f>IF(tbl_quickmart[[#This Row],[Net_Revenue]]&gt;5000,"High","Normal")</f>
        <v>Normal</v>
      </c>
      <c r="W12" t="str" cm="1">
        <f t="array" ref="W12">_xlfn.IFS(tbl_quickmart[[#This Row],[Discount_%]]=0,"NO Discount",AND(tbl_quickmart[[#This Row],[Discount_%]]&gt;0,tbl_quickmart[[#This Row],[Discount_%]]&lt;=10),"Low",tbl_quickmart[[#This Row],[Discount_%]]&gt;10,"High")</f>
        <v>Low</v>
      </c>
    </row>
    <row r="13" spans="1:23" x14ac:dyDescent="0.25">
      <c r="A13">
        <v>1012</v>
      </c>
      <c r="B13" s="1">
        <v>45302</v>
      </c>
      <c r="C13" t="s">
        <v>89</v>
      </c>
      <c r="D13" t="s">
        <v>90</v>
      </c>
      <c r="E13" t="s">
        <v>62</v>
      </c>
      <c r="F13" t="s">
        <v>101</v>
      </c>
      <c r="G13" t="s">
        <v>64</v>
      </c>
      <c r="H13">
        <v>24</v>
      </c>
      <c r="I13" t="s">
        <v>84</v>
      </c>
      <c r="J13" t="s">
        <v>102</v>
      </c>
      <c r="K13">
        <v>2</v>
      </c>
      <c r="L13" s="9">
        <v>300</v>
      </c>
      <c r="M13">
        <v>5</v>
      </c>
      <c r="N13" t="s">
        <v>86</v>
      </c>
      <c r="O13" t="s">
        <v>58</v>
      </c>
      <c r="P13" s="9">
        <v>600</v>
      </c>
      <c r="Q13" s="9">
        <v>30</v>
      </c>
      <c r="R13" s="9">
        <v>570</v>
      </c>
      <c r="S13" t="s">
        <v>88</v>
      </c>
      <c r="T13" t="str">
        <f>IF(tbl_quickmart[[#This Row],[Payment_Method]]="Cash","Cash","Digital")</f>
        <v>Digital</v>
      </c>
      <c r="U13">
        <f>IF(tbl_quickmart[[#This Row],[Order_Status]]="Delivered",1,0)</f>
        <v>1</v>
      </c>
      <c r="V13" t="str">
        <f>IF(tbl_quickmart[[#This Row],[Net_Revenue]]&gt;5000,"High","Normal")</f>
        <v>Normal</v>
      </c>
      <c r="W13" t="str" cm="1">
        <f t="array" ref="W13">_xlfn.IFS(tbl_quickmart[[#This Row],[Discount_%]]=0,"NO Discount",AND(tbl_quickmart[[#This Row],[Discount_%]]&gt;0,tbl_quickmart[[#This Row],[Discount_%]]&lt;=10),"Low",tbl_quickmart[[#This Row],[Discount_%]]&gt;10,"High")</f>
        <v>Low</v>
      </c>
    </row>
    <row r="14" spans="1:23" x14ac:dyDescent="0.25">
      <c r="A14">
        <v>1013</v>
      </c>
      <c r="B14" s="1">
        <v>45303</v>
      </c>
      <c r="C14" t="s">
        <v>51</v>
      </c>
      <c r="D14" t="s">
        <v>51</v>
      </c>
      <c r="E14" t="s">
        <v>62</v>
      </c>
      <c r="F14" t="s">
        <v>103</v>
      </c>
      <c r="G14" t="s">
        <v>54</v>
      </c>
      <c r="H14">
        <v>33</v>
      </c>
      <c r="I14" t="s">
        <v>65</v>
      </c>
      <c r="J14" t="s">
        <v>104</v>
      </c>
      <c r="K14">
        <v>1</v>
      </c>
      <c r="L14" s="9">
        <v>4000</v>
      </c>
      <c r="M14">
        <v>25</v>
      </c>
      <c r="N14" t="s">
        <v>67</v>
      </c>
      <c r="O14" t="s">
        <v>78</v>
      </c>
      <c r="P14" s="9">
        <v>4000</v>
      </c>
      <c r="Q14" s="9">
        <v>1000</v>
      </c>
      <c r="R14" s="9">
        <v>3000</v>
      </c>
      <c r="S14" t="s">
        <v>59</v>
      </c>
      <c r="T14" t="str">
        <f>IF(tbl_quickmart[[#This Row],[Payment_Method]]="Cash","Cash","Digital")</f>
        <v>Digital</v>
      </c>
      <c r="U14">
        <f>IF(tbl_quickmart[[#This Row],[Order_Status]]="Delivered",1,0)</f>
        <v>0</v>
      </c>
      <c r="V14" t="str">
        <f>IF(tbl_quickmart[[#This Row],[Net_Revenue]]&gt;5000,"High","Normal")</f>
        <v>Normal</v>
      </c>
      <c r="W14" t="str" cm="1">
        <f t="array" ref="W14">_xlfn.IFS(tbl_quickmart[[#This Row],[Discount_%]]=0,"NO Discount",AND(tbl_quickmart[[#This Row],[Discount_%]]&gt;0,tbl_quickmart[[#This Row],[Discount_%]]&lt;=10),"Low",tbl_quickmart[[#This Row],[Discount_%]]&gt;10,"High")</f>
        <v>High</v>
      </c>
    </row>
    <row r="15" spans="1:23" x14ac:dyDescent="0.25">
      <c r="A15">
        <v>1014</v>
      </c>
      <c r="B15" s="1">
        <v>45304</v>
      </c>
      <c r="C15" t="s">
        <v>68</v>
      </c>
      <c r="D15" t="s">
        <v>69</v>
      </c>
      <c r="E15" t="s">
        <v>52</v>
      </c>
      <c r="F15" t="s">
        <v>105</v>
      </c>
      <c r="G15" t="s">
        <v>64</v>
      </c>
      <c r="H15">
        <v>26</v>
      </c>
      <c r="I15" t="s">
        <v>55</v>
      </c>
      <c r="J15" t="s">
        <v>106</v>
      </c>
      <c r="K15">
        <v>1</v>
      </c>
      <c r="L15" s="9">
        <v>15000</v>
      </c>
      <c r="M15">
        <v>10</v>
      </c>
      <c r="N15" t="s">
        <v>57</v>
      </c>
      <c r="O15" t="s">
        <v>58</v>
      </c>
      <c r="P15" s="9">
        <v>15000</v>
      </c>
      <c r="Q15" s="9">
        <v>1500</v>
      </c>
      <c r="R15" s="9">
        <v>13500</v>
      </c>
      <c r="S15" t="s">
        <v>59</v>
      </c>
      <c r="T15" t="str">
        <f>IF(tbl_quickmart[[#This Row],[Payment_Method]]="Cash","Cash","Digital")</f>
        <v>Digital</v>
      </c>
      <c r="U15">
        <f>IF(tbl_quickmart[[#This Row],[Order_Status]]="Delivered",1,0)</f>
        <v>1</v>
      </c>
      <c r="V15" t="str">
        <f>IF(tbl_quickmart[[#This Row],[Net_Revenue]]&gt;5000,"High","Normal")</f>
        <v>High</v>
      </c>
      <c r="W15" t="str" cm="1">
        <f t="array" ref="W15">_xlfn.IFS(tbl_quickmart[[#This Row],[Discount_%]]=0,"NO Discount",AND(tbl_quickmart[[#This Row],[Discount_%]]&gt;0,tbl_quickmart[[#This Row],[Discount_%]]&lt;=10),"Low",tbl_quickmart[[#This Row],[Discount_%]]&gt;10,"High")</f>
        <v>Low</v>
      </c>
    </row>
    <row r="16" spans="1:23" x14ac:dyDescent="0.25">
      <c r="A16">
        <v>1015</v>
      </c>
      <c r="B16" s="1">
        <v>45305</v>
      </c>
      <c r="C16" t="s">
        <v>79</v>
      </c>
      <c r="D16" t="s">
        <v>80</v>
      </c>
      <c r="E16" t="s">
        <v>70</v>
      </c>
      <c r="F16" t="s">
        <v>107</v>
      </c>
      <c r="G16" t="s">
        <v>54</v>
      </c>
      <c r="H16">
        <v>40</v>
      </c>
      <c r="I16" t="s">
        <v>72</v>
      </c>
      <c r="J16" t="s">
        <v>108</v>
      </c>
      <c r="K16">
        <v>4</v>
      </c>
      <c r="L16" s="9">
        <v>50</v>
      </c>
      <c r="M16">
        <v>0</v>
      </c>
      <c r="N16" t="s">
        <v>74</v>
      </c>
      <c r="O16" t="s">
        <v>58</v>
      </c>
      <c r="P16" s="9">
        <v>200</v>
      </c>
      <c r="Q16" s="9">
        <v>0</v>
      </c>
      <c r="R16" s="9">
        <v>200</v>
      </c>
      <c r="S16" t="s">
        <v>59</v>
      </c>
      <c r="T16" t="str">
        <f>IF(tbl_quickmart[[#This Row],[Payment_Method]]="Cash","Cash","Digital")</f>
        <v>Cash</v>
      </c>
      <c r="U16">
        <f>IF(tbl_quickmart[[#This Row],[Order_Status]]="Delivered",1,0)</f>
        <v>1</v>
      </c>
      <c r="V16" t="str">
        <f>IF(tbl_quickmart[[#This Row],[Net_Revenue]]&gt;5000,"High","Normal")</f>
        <v>Normal</v>
      </c>
      <c r="W16" t="str" cm="1">
        <f t="array" ref="W16">_xlfn.IFS(tbl_quickmart[[#This Row],[Discount_%]]=0,"NO Discount",AND(tbl_quickmart[[#This Row],[Discount_%]]&gt;0,tbl_quickmart[[#This Row],[Discount_%]]&lt;=10),"Low",tbl_quickmart[[#This Row],[Discount_%]]&gt;10,"High")</f>
        <v>NO Discount</v>
      </c>
    </row>
    <row r="17" spans="1:23" x14ac:dyDescent="0.25">
      <c r="A17">
        <v>1016</v>
      </c>
      <c r="B17" s="1">
        <v>45306</v>
      </c>
      <c r="C17" t="s">
        <v>60</v>
      </c>
      <c r="D17" t="s">
        <v>61</v>
      </c>
      <c r="E17" t="s">
        <v>52</v>
      </c>
      <c r="F17" t="s">
        <v>109</v>
      </c>
      <c r="G17" t="s">
        <v>64</v>
      </c>
      <c r="H17">
        <v>31</v>
      </c>
      <c r="I17" t="s">
        <v>65</v>
      </c>
      <c r="J17" t="s">
        <v>110</v>
      </c>
      <c r="K17">
        <v>1</v>
      </c>
      <c r="L17" s="9">
        <v>3500</v>
      </c>
      <c r="M17">
        <v>15</v>
      </c>
      <c r="N17" t="s">
        <v>67</v>
      </c>
      <c r="O17" t="s">
        <v>58</v>
      </c>
      <c r="P17" s="9">
        <v>3500</v>
      </c>
      <c r="Q17" s="9">
        <v>525</v>
      </c>
      <c r="R17" s="9">
        <v>2975</v>
      </c>
      <c r="S17" t="s">
        <v>59</v>
      </c>
      <c r="T17" t="str">
        <f>IF(tbl_quickmart[[#This Row],[Payment_Method]]="Cash","Cash","Digital")</f>
        <v>Digital</v>
      </c>
      <c r="U17">
        <f>IF(tbl_quickmart[[#This Row],[Order_Status]]="Delivered",1,0)</f>
        <v>1</v>
      </c>
      <c r="V17" t="str">
        <f>IF(tbl_quickmart[[#This Row],[Net_Revenue]]&gt;5000,"High","Normal")</f>
        <v>Normal</v>
      </c>
      <c r="W17" t="str" cm="1">
        <f t="array" ref="W17">_xlfn.IFS(tbl_quickmart[[#This Row],[Discount_%]]=0,"NO Discount",AND(tbl_quickmart[[#This Row],[Discount_%]]&gt;0,tbl_quickmart[[#This Row],[Discount_%]]&lt;=10),"Low",tbl_quickmart[[#This Row],[Discount_%]]&gt;10,"High")</f>
        <v>High</v>
      </c>
    </row>
    <row r="18" spans="1:23" x14ac:dyDescent="0.25">
      <c r="A18">
        <v>1017</v>
      </c>
      <c r="B18" s="1">
        <v>45307</v>
      </c>
      <c r="C18" t="s">
        <v>51</v>
      </c>
      <c r="D18" t="s">
        <v>51</v>
      </c>
      <c r="E18" t="s">
        <v>62</v>
      </c>
      <c r="F18" t="s">
        <v>111</v>
      </c>
      <c r="G18" t="s">
        <v>54</v>
      </c>
      <c r="H18">
        <v>23</v>
      </c>
      <c r="I18" t="s">
        <v>84</v>
      </c>
      <c r="J18" t="s">
        <v>112</v>
      </c>
      <c r="K18">
        <v>1</v>
      </c>
      <c r="L18" s="9">
        <v>2800</v>
      </c>
      <c r="M18">
        <v>5</v>
      </c>
      <c r="N18" t="s">
        <v>86</v>
      </c>
      <c r="O18" t="s">
        <v>58</v>
      </c>
      <c r="P18" s="9">
        <v>2800</v>
      </c>
      <c r="Q18" s="9">
        <v>140</v>
      </c>
      <c r="R18" s="9">
        <v>2660</v>
      </c>
      <c r="S18" t="s">
        <v>88</v>
      </c>
      <c r="T18" t="str">
        <f>IF(tbl_quickmart[[#This Row],[Payment_Method]]="Cash","Cash","Digital")</f>
        <v>Digital</v>
      </c>
      <c r="U18">
        <f>IF(tbl_quickmart[[#This Row],[Order_Status]]="Delivered",1,0)</f>
        <v>1</v>
      </c>
      <c r="V18" t="str">
        <f>IF(tbl_quickmart[[#This Row],[Net_Revenue]]&gt;5000,"High","Normal")</f>
        <v>Normal</v>
      </c>
      <c r="W18" t="str" cm="1">
        <f t="array" ref="W18">_xlfn.IFS(tbl_quickmart[[#This Row],[Discount_%]]=0,"NO Discount",AND(tbl_quickmart[[#This Row],[Discount_%]]&gt;0,tbl_quickmart[[#This Row],[Discount_%]]&lt;=10),"Low",tbl_quickmart[[#This Row],[Discount_%]]&gt;10,"High")</f>
        <v>Low</v>
      </c>
    </row>
    <row r="19" spans="1:23" x14ac:dyDescent="0.25">
      <c r="A19">
        <v>1018</v>
      </c>
      <c r="B19" s="1">
        <v>45308</v>
      </c>
      <c r="C19" t="s">
        <v>89</v>
      </c>
      <c r="D19" t="s">
        <v>90</v>
      </c>
      <c r="E19" t="s">
        <v>52</v>
      </c>
      <c r="F19" t="s">
        <v>113</v>
      </c>
      <c r="G19" t="s">
        <v>64</v>
      </c>
      <c r="H19">
        <v>42</v>
      </c>
      <c r="I19" t="s">
        <v>55</v>
      </c>
      <c r="J19" t="s">
        <v>114</v>
      </c>
      <c r="K19">
        <v>1</v>
      </c>
      <c r="L19" s="9">
        <v>9000</v>
      </c>
      <c r="M19">
        <v>20</v>
      </c>
      <c r="N19" t="s">
        <v>57</v>
      </c>
      <c r="O19" t="s">
        <v>58</v>
      </c>
      <c r="P19" s="9">
        <v>9000</v>
      </c>
      <c r="Q19" s="9">
        <v>1800</v>
      </c>
      <c r="R19" s="9">
        <v>7200</v>
      </c>
      <c r="S19" t="s">
        <v>75</v>
      </c>
      <c r="T19" t="str">
        <f>IF(tbl_quickmart[[#This Row],[Payment_Method]]="Cash","Cash","Digital")</f>
        <v>Digital</v>
      </c>
      <c r="U19">
        <f>IF(tbl_quickmart[[#This Row],[Order_Status]]="Delivered",1,0)</f>
        <v>1</v>
      </c>
      <c r="V19" t="str">
        <f>IF(tbl_quickmart[[#This Row],[Net_Revenue]]&gt;5000,"High","Normal")</f>
        <v>High</v>
      </c>
      <c r="W19" t="str" cm="1">
        <f t="array" ref="W19">_xlfn.IFS(tbl_quickmart[[#This Row],[Discount_%]]=0,"NO Discount",AND(tbl_quickmart[[#This Row],[Discount_%]]&gt;0,tbl_quickmart[[#This Row],[Discount_%]]&lt;=10),"Low",tbl_quickmart[[#This Row],[Discount_%]]&gt;10,"High")</f>
        <v>High</v>
      </c>
    </row>
    <row r="20" spans="1:23" x14ac:dyDescent="0.25">
      <c r="A20">
        <v>1019</v>
      </c>
      <c r="B20" s="1">
        <v>45309</v>
      </c>
      <c r="C20" t="s">
        <v>68</v>
      </c>
      <c r="D20" t="s">
        <v>69</v>
      </c>
      <c r="E20" t="s">
        <v>70</v>
      </c>
      <c r="F20" t="s">
        <v>115</v>
      </c>
      <c r="G20" t="s">
        <v>54</v>
      </c>
      <c r="H20">
        <v>37</v>
      </c>
      <c r="I20" t="s">
        <v>72</v>
      </c>
      <c r="J20" t="s">
        <v>116</v>
      </c>
      <c r="K20">
        <v>3</v>
      </c>
      <c r="L20" s="9">
        <v>150</v>
      </c>
      <c r="M20">
        <v>0</v>
      </c>
      <c r="N20" t="s">
        <v>74</v>
      </c>
      <c r="O20" t="s">
        <v>58</v>
      </c>
      <c r="P20" s="9">
        <v>450</v>
      </c>
      <c r="Q20" s="9">
        <v>0</v>
      </c>
      <c r="R20" s="9">
        <v>450</v>
      </c>
      <c r="S20" t="s">
        <v>59</v>
      </c>
      <c r="T20" t="str">
        <f>IF(tbl_quickmart[[#This Row],[Payment_Method]]="Cash","Cash","Digital")</f>
        <v>Cash</v>
      </c>
      <c r="U20">
        <f>IF(tbl_quickmart[[#This Row],[Order_Status]]="Delivered",1,0)</f>
        <v>1</v>
      </c>
      <c r="V20" t="str">
        <f>IF(tbl_quickmart[[#This Row],[Net_Revenue]]&gt;5000,"High","Normal")</f>
        <v>Normal</v>
      </c>
      <c r="W20" t="str" cm="1">
        <f t="array" ref="W20">_xlfn.IFS(tbl_quickmart[[#This Row],[Discount_%]]=0,"NO Discount",AND(tbl_quickmart[[#This Row],[Discount_%]]&gt;0,tbl_quickmart[[#This Row],[Discount_%]]&lt;=10),"Low",tbl_quickmart[[#This Row],[Discount_%]]&gt;10,"High")</f>
        <v>NO Discount</v>
      </c>
    </row>
    <row r="21" spans="1:23" x14ac:dyDescent="0.25">
      <c r="A21">
        <v>1020</v>
      </c>
      <c r="B21" s="1">
        <v>45310</v>
      </c>
      <c r="C21" t="s">
        <v>79</v>
      </c>
      <c r="D21" t="s">
        <v>80</v>
      </c>
      <c r="E21" t="s">
        <v>62</v>
      </c>
      <c r="F21" t="s">
        <v>117</v>
      </c>
      <c r="G21" t="s">
        <v>64</v>
      </c>
      <c r="H21">
        <v>29</v>
      </c>
      <c r="I21" t="s">
        <v>65</v>
      </c>
      <c r="J21" t="s">
        <v>118</v>
      </c>
      <c r="K21">
        <v>2</v>
      </c>
      <c r="L21" s="9">
        <v>1200</v>
      </c>
      <c r="M21">
        <v>10</v>
      </c>
      <c r="N21" t="s">
        <v>67</v>
      </c>
      <c r="O21" t="s">
        <v>87</v>
      </c>
      <c r="P21" s="9">
        <v>2400</v>
      </c>
      <c r="Q21" s="9">
        <v>240</v>
      </c>
      <c r="R21" s="9">
        <v>2160</v>
      </c>
      <c r="S21" t="s">
        <v>59</v>
      </c>
      <c r="T21" t="str">
        <f>IF(tbl_quickmart[[#This Row],[Payment_Method]]="Cash","Cash","Digital")</f>
        <v>Digital</v>
      </c>
      <c r="U21">
        <f>IF(tbl_quickmart[[#This Row],[Order_Status]]="Delivered",1,0)</f>
        <v>0</v>
      </c>
      <c r="V21" t="str">
        <f>IF(tbl_quickmart[[#This Row],[Net_Revenue]]&gt;5000,"High","Normal")</f>
        <v>Normal</v>
      </c>
      <c r="W21" t="str" cm="1">
        <f t="array" ref="W21">_xlfn.IFS(tbl_quickmart[[#This Row],[Discount_%]]=0,"NO Discount",AND(tbl_quickmart[[#This Row],[Discount_%]]&gt;0,tbl_quickmart[[#This Row],[Discount_%]]&lt;=10),"Low",tbl_quickmart[[#This Row],[Discount_%]]&gt;10,"High")</f>
        <v>Low</v>
      </c>
    </row>
    <row r="22" spans="1:23" x14ac:dyDescent="0.25">
      <c r="A22">
        <v>1021</v>
      </c>
      <c r="B22" s="1">
        <v>45311</v>
      </c>
      <c r="C22" t="s">
        <v>51</v>
      </c>
      <c r="D22" t="s">
        <v>51</v>
      </c>
      <c r="E22" t="s">
        <v>52</v>
      </c>
      <c r="F22" t="s">
        <v>119</v>
      </c>
      <c r="G22" t="s">
        <v>54</v>
      </c>
      <c r="H22">
        <v>34</v>
      </c>
      <c r="I22" t="s">
        <v>55</v>
      </c>
      <c r="J22" t="s">
        <v>120</v>
      </c>
      <c r="K22">
        <v>2</v>
      </c>
      <c r="L22" s="9">
        <v>700</v>
      </c>
      <c r="M22">
        <v>5</v>
      </c>
      <c r="N22" t="s">
        <v>57</v>
      </c>
      <c r="O22" t="s">
        <v>58</v>
      </c>
      <c r="P22" s="9">
        <v>1400</v>
      </c>
      <c r="Q22" s="9">
        <v>70</v>
      </c>
      <c r="R22" s="9">
        <v>1330</v>
      </c>
      <c r="S22" t="s">
        <v>59</v>
      </c>
      <c r="T22" t="str">
        <f>IF(tbl_quickmart[[#This Row],[Payment_Method]]="Cash","Cash","Digital")</f>
        <v>Digital</v>
      </c>
      <c r="U22">
        <f>IF(tbl_quickmart[[#This Row],[Order_Status]]="Delivered",1,0)</f>
        <v>1</v>
      </c>
      <c r="V22" t="str">
        <f>IF(tbl_quickmart[[#This Row],[Net_Revenue]]&gt;5000,"High","Normal")</f>
        <v>Normal</v>
      </c>
      <c r="W22" t="str" cm="1">
        <f t="array" ref="W22">_xlfn.IFS(tbl_quickmart[[#This Row],[Discount_%]]=0,"NO Discount",AND(tbl_quickmart[[#This Row],[Discount_%]]&gt;0,tbl_quickmart[[#This Row],[Discount_%]]&lt;=10),"Low",tbl_quickmart[[#This Row],[Discount_%]]&gt;10,"High")</f>
        <v>Low</v>
      </c>
    </row>
    <row r="23" spans="1:23" x14ac:dyDescent="0.25">
      <c r="A23">
        <v>1022</v>
      </c>
      <c r="B23" s="1">
        <v>45312</v>
      </c>
      <c r="C23" t="s">
        <v>60</v>
      </c>
      <c r="D23" t="s">
        <v>61</v>
      </c>
      <c r="E23" t="s">
        <v>70</v>
      </c>
      <c r="F23" t="s">
        <v>121</v>
      </c>
      <c r="G23" t="s">
        <v>64</v>
      </c>
      <c r="H23">
        <v>27</v>
      </c>
      <c r="I23" t="s">
        <v>84</v>
      </c>
      <c r="J23" t="s">
        <v>122</v>
      </c>
      <c r="K23">
        <v>3</v>
      </c>
      <c r="L23" s="9">
        <v>450</v>
      </c>
      <c r="M23">
        <v>10</v>
      </c>
      <c r="N23" t="s">
        <v>86</v>
      </c>
      <c r="O23" t="s">
        <v>58</v>
      </c>
      <c r="P23" s="9">
        <v>1350</v>
      </c>
      <c r="Q23" s="9">
        <v>135</v>
      </c>
      <c r="R23" s="9">
        <v>1215</v>
      </c>
      <c r="S23" t="s">
        <v>59</v>
      </c>
      <c r="T23" t="str">
        <f>IF(tbl_quickmart[[#This Row],[Payment_Method]]="Cash","Cash","Digital")</f>
        <v>Digital</v>
      </c>
      <c r="U23">
        <f>IF(tbl_quickmart[[#This Row],[Order_Status]]="Delivered",1,0)</f>
        <v>1</v>
      </c>
      <c r="V23" t="str">
        <f>IF(tbl_quickmart[[#This Row],[Net_Revenue]]&gt;5000,"High","Normal")</f>
        <v>Normal</v>
      </c>
      <c r="W23" t="str" cm="1">
        <f t="array" ref="W23">_xlfn.IFS(tbl_quickmart[[#This Row],[Discount_%]]=0,"NO Discount",AND(tbl_quickmart[[#This Row],[Discount_%]]&gt;0,tbl_quickmart[[#This Row],[Discount_%]]&lt;=10),"Low",tbl_quickmart[[#This Row],[Discount_%]]&gt;10,"High")</f>
        <v>Low</v>
      </c>
    </row>
    <row r="24" spans="1:23" x14ac:dyDescent="0.25">
      <c r="A24">
        <v>1023</v>
      </c>
      <c r="B24" s="1">
        <v>45313</v>
      </c>
      <c r="C24" t="s">
        <v>89</v>
      </c>
      <c r="D24" t="s">
        <v>90</v>
      </c>
      <c r="E24" t="s">
        <v>62</v>
      </c>
      <c r="F24" t="s">
        <v>123</v>
      </c>
      <c r="G24" t="s">
        <v>54</v>
      </c>
      <c r="H24">
        <v>46</v>
      </c>
      <c r="I24" t="s">
        <v>72</v>
      </c>
      <c r="J24" t="s">
        <v>124</v>
      </c>
      <c r="K24">
        <v>2</v>
      </c>
      <c r="L24" s="9">
        <v>300</v>
      </c>
      <c r="M24">
        <v>0</v>
      </c>
      <c r="N24" t="s">
        <v>74</v>
      </c>
      <c r="O24" t="s">
        <v>58</v>
      </c>
      <c r="P24" s="9">
        <v>600</v>
      </c>
      <c r="Q24" s="9">
        <v>0</v>
      </c>
      <c r="R24" s="9">
        <v>600</v>
      </c>
      <c r="S24" t="s">
        <v>75</v>
      </c>
      <c r="T24" t="str">
        <f>IF(tbl_quickmart[[#This Row],[Payment_Method]]="Cash","Cash","Digital")</f>
        <v>Cash</v>
      </c>
      <c r="U24">
        <f>IF(tbl_quickmart[[#This Row],[Order_Status]]="Delivered",1,0)</f>
        <v>1</v>
      </c>
      <c r="V24" t="str">
        <f>IF(tbl_quickmart[[#This Row],[Net_Revenue]]&gt;5000,"High","Normal")</f>
        <v>Normal</v>
      </c>
      <c r="W24" t="str" cm="1">
        <f t="array" ref="W24">_xlfn.IFS(tbl_quickmart[[#This Row],[Discount_%]]=0,"NO Discount",AND(tbl_quickmart[[#This Row],[Discount_%]]&gt;0,tbl_quickmart[[#This Row],[Discount_%]]&lt;=10),"Low",tbl_quickmart[[#This Row],[Discount_%]]&gt;10,"High")</f>
        <v>NO Discount</v>
      </c>
    </row>
    <row r="25" spans="1:23" x14ac:dyDescent="0.25">
      <c r="A25">
        <v>1024</v>
      </c>
      <c r="B25" s="1">
        <v>45314</v>
      </c>
      <c r="C25" t="s">
        <v>68</v>
      </c>
      <c r="D25" t="s">
        <v>69</v>
      </c>
      <c r="E25" t="s">
        <v>52</v>
      </c>
      <c r="F25" t="s">
        <v>125</v>
      </c>
      <c r="G25" t="s">
        <v>64</v>
      </c>
      <c r="H25">
        <v>36</v>
      </c>
      <c r="I25" t="s">
        <v>55</v>
      </c>
      <c r="J25" t="s">
        <v>126</v>
      </c>
      <c r="K25">
        <v>1</v>
      </c>
      <c r="L25" s="9">
        <v>1800</v>
      </c>
      <c r="M25">
        <v>5</v>
      </c>
      <c r="N25" t="s">
        <v>67</v>
      </c>
      <c r="O25" t="s">
        <v>58</v>
      </c>
      <c r="P25" s="9">
        <v>1800</v>
      </c>
      <c r="Q25" s="9">
        <v>90</v>
      </c>
      <c r="R25" s="9">
        <v>1710</v>
      </c>
      <c r="S25" t="s">
        <v>59</v>
      </c>
      <c r="T25" t="str">
        <f>IF(tbl_quickmart[[#This Row],[Payment_Method]]="Cash","Cash","Digital")</f>
        <v>Digital</v>
      </c>
      <c r="U25">
        <f>IF(tbl_quickmart[[#This Row],[Order_Status]]="Delivered",1,0)</f>
        <v>1</v>
      </c>
      <c r="V25" t="str">
        <f>IF(tbl_quickmart[[#This Row],[Net_Revenue]]&gt;5000,"High","Normal")</f>
        <v>Normal</v>
      </c>
      <c r="W25" t="str" cm="1">
        <f t="array" ref="W25">_xlfn.IFS(tbl_quickmart[[#This Row],[Discount_%]]=0,"NO Discount",AND(tbl_quickmart[[#This Row],[Discount_%]]&gt;0,tbl_quickmart[[#This Row],[Discount_%]]&lt;=10),"Low",tbl_quickmart[[#This Row],[Discount_%]]&gt;10,"High")</f>
        <v>Low</v>
      </c>
    </row>
    <row r="26" spans="1:23" x14ac:dyDescent="0.25">
      <c r="A26">
        <v>1025</v>
      </c>
      <c r="B26" s="1">
        <v>45315</v>
      </c>
      <c r="C26" t="s">
        <v>79</v>
      </c>
      <c r="D26" t="s">
        <v>80</v>
      </c>
      <c r="E26" t="s">
        <v>52</v>
      </c>
      <c r="F26" t="s">
        <v>127</v>
      </c>
      <c r="G26" t="s">
        <v>54</v>
      </c>
      <c r="H26">
        <v>39</v>
      </c>
      <c r="I26" t="s">
        <v>65</v>
      </c>
      <c r="J26" t="s">
        <v>128</v>
      </c>
      <c r="K26">
        <v>2</v>
      </c>
      <c r="L26" s="9">
        <v>900</v>
      </c>
      <c r="M26">
        <v>10</v>
      </c>
      <c r="N26" t="s">
        <v>57</v>
      </c>
      <c r="O26" t="s">
        <v>58</v>
      </c>
      <c r="P26" s="9">
        <v>1800</v>
      </c>
      <c r="Q26" s="9">
        <v>180</v>
      </c>
      <c r="R26" s="9">
        <v>1620</v>
      </c>
      <c r="S26" t="s">
        <v>59</v>
      </c>
      <c r="T26" t="str">
        <f>IF(tbl_quickmart[[#This Row],[Payment_Method]]="Cash","Cash","Digital")</f>
        <v>Digital</v>
      </c>
      <c r="U26">
        <f>IF(tbl_quickmart[[#This Row],[Order_Status]]="Delivered",1,0)</f>
        <v>1</v>
      </c>
      <c r="V26" t="str">
        <f>IF(tbl_quickmart[[#This Row],[Net_Revenue]]&gt;5000,"High","Normal")</f>
        <v>Normal</v>
      </c>
      <c r="W26" t="str" cm="1">
        <f t="array" ref="W26">_xlfn.IFS(tbl_quickmart[[#This Row],[Discount_%]]=0,"NO Discount",AND(tbl_quickmart[[#This Row],[Discount_%]]&gt;0,tbl_quickmart[[#This Row],[Discount_%]]&lt;=10),"Low",tbl_quickmart[[#This Row],[Discount_%]]&gt;10,"High")</f>
        <v>Low</v>
      </c>
    </row>
    <row r="27" spans="1:23" x14ac:dyDescent="0.25">
      <c r="A27">
        <v>1026</v>
      </c>
      <c r="B27" s="1">
        <v>45316</v>
      </c>
      <c r="C27" t="s">
        <v>60</v>
      </c>
      <c r="D27" t="s">
        <v>61</v>
      </c>
      <c r="E27" t="s">
        <v>62</v>
      </c>
      <c r="F27" t="s">
        <v>129</v>
      </c>
      <c r="G27" t="s">
        <v>64</v>
      </c>
      <c r="H27">
        <v>21</v>
      </c>
      <c r="I27" t="s">
        <v>84</v>
      </c>
      <c r="J27" t="s">
        <v>130</v>
      </c>
      <c r="K27">
        <v>5</v>
      </c>
      <c r="L27" s="9">
        <v>200</v>
      </c>
      <c r="M27">
        <v>5</v>
      </c>
      <c r="N27" t="s">
        <v>86</v>
      </c>
      <c r="O27" t="s">
        <v>58</v>
      </c>
      <c r="P27" s="9">
        <v>1000</v>
      </c>
      <c r="Q27" s="9">
        <v>50</v>
      </c>
      <c r="R27" s="9">
        <v>950</v>
      </c>
      <c r="S27" t="s">
        <v>88</v>
      </c>
      <c r="T27" t="str">
        <f>IF(tbl_quickmart[[#This Row],[Payment_Method]]="Cash","Cash","Digital")</f>
        <v>Digital</v>
      </c>
      <c r="U27">
        <f>IF(tbl_quickmart[[#This Row],[Order_Status]]="Delivered",1,0)</f>
        <v>1</v>
      </c>
      <c r="V27" t="str">
        <f>IF(tbl_quickmart[[#This Row],[Net_Revenue]]&gt;5000,"High","Normal")</f>
        <v>Normal</v>
      </c>
      <c r="W27" t="str" cm="1">
        <f t="array" ref="W27">_xlfn.IFS(tbl_quickmart[[#This Row],[Discount_%]]=0,"NO Discount",AND(tbl_quickmart[[#This Row],[Discount_%]]&gt;0,tbl_quickmart[[#This Row],[Discount_%]]&lt;=10),"Low",tbl_quickmart[[#This Row],[Discount_%]]&gt;10,"High")</f>
        <v>Low</v>
      </c>
    </row>
    <row r="28" spans="1:23" x14ac:dyDescent="0.25">
      <c r="A28">
        <v>1027</v>
      </c>
      <c r="B28" s="1">
        <v>45317</v>
      </c>
      <c r="C28" t="s">
        <v>51</v>
      </c>
      <c r="D28" t="s">
        <v>51</v>
      </c>
      <c r="E28" t="s">
        <v>70</v>
      </c>
      <c r="F28" t="s">
        <v>131</v>
      </c>
      <c r="G28" t="s">
        <v>54</v>
      </c>
      <c r="H28">
        <v>44</v>
      </c>
      <c r="I28" t="s">
        <v>72</v>
      </c>
      <c r="J28" t="s">
        <v>132</v>
      </c>
      <c r="K28">
        <v>3</v>
      </c>
      <c r="L28" s="9">
        <v>400</v>
      </c>
      <c r="M28">
        <v>0</v>
      </c>
      <c r="N28" t="s">
        <v>74</v>
      </c>
      <c r="O28" t="s">
        <v>58</v>
      </c>
      <c r="P28" s="9">
        <v>1200</v>
      </c>
      <c r="Q28" s="9">
        <v>0</v>
      </c>
      <c r="R28" s="9">
        <v>1200</v>
      </c>
      <c r="S28" t="s">
        <v>75</v>
      </c>
      <c r="T28" t="str">
        <f>IF(tbl_quickmart[[#This Row],[Payment_Method]]="Cash","Cash","Digital")</f>
        <v>Cash</v>
      </c>
      <c r="U28">
        <f>IF(tbl_quickmart[[#This Row],[Order_Status]]="Delivered",1,0)</f>
        <v>1</v>
      </c>
      <c r="V28" t="str">
        <f>IF(tbl_quickmart[[#This Row],[Net_Revenue]]&gt;5000,"High","Normal")</f>
        <v>Normal</v>
      </c>
      <c r="W28" t="str" cm="1">
        <f t="array" ref="W28">_xlfn.IFS(tbl_quickmart[[#This Row],[Discount_%]]=0,"NO Discount",AND(tbl_quickmart[[#This Row],[Discount_%]]&gt;0,tbl_quickmart[[#This Row],[Discount_%]]&lt;=10),"Low",tbl_quickmart[[#This Row],[Discount_%]]&gt;10,"High")</f>
        <v>NO Discount</v>
      </c>
    </row>
    <row r="29" spans="1:23" x14ac:dyDescent="0.25">
      <c r="A29">
        <v>1028</v>
      </c>
      <c r="B29" s="1">
        <v>45318</v>
      </c>
      <c r="C29" t="s">
        <v>89</v>
      </c>
      <c r="D29" t="s">
        <v>90</v>
      </c>
      <c r="E29" t="s">
        <v>62</v>
      </c>
      <c r="F29" t="s">
        <v>133</v>
      </c>
      <c r="G29" t="s">
        <v>64</v>
      </c>
      <c r="H29">
        <v>28</v>
      </c>
      <c r="I29" t="s">
        <v>65</v>
      </c>
      <c r="J29" t="s">
        <v>134</v>
      </c>
      <c r="K29">
        <v>1</v>
      </c>
      <c r="L29" s="9">
        <v>6000</v>
      </c>
      <c r="M29">
        <v>15</v>
      </c>
      <c r="N29" t="s">
        <v>67</v>
      </c>
      <c r="O29" t="s">
        <v>78</v>
      </c>
      <c r="P29" s="9">
        <v>6000</v>
      </c>
      <c r="Q29" s="9">
        <v>900</v>
      </c>
      <c r="R29" s="9">
        <v>5100</v>
      </c>
      <c r="S29" t="s">
        <v>59</v>
      </c>
      <c r="T29" t="str">
        <f>IF(tbl_quickmart[[#This Row],[Payment_Method]]="Cash","Cash","Digital")</f>
        <v>Digital</v>
      </c>
      <c r="U29">
        <f>IF(tbl_quickmart[[#This Row],[Order_Status]]="Delivered",1,0)</f>
        <v>0</v>
      </c>
      <c r="V29" t="str">
        <f>IF(tbl_quickmart[[#This Row],[Net_Revenue]]&gt;5000,"High","Normal")</f>
        <v>High</v>
      </c>
      <c r="W29" t="str" cm="1">
        <f t="array" ref="W29">_xlfn.IFS(tbl_quickmart[[#This Row],[Discount_%]]=0,"NO Discount",AND(tbl_quickmart[[#This Row],[Discount_%]]&gt;0,tbl_quickmart[[#This Row],[Discount_%]]&lt;=10),"Low",tbl_quickmart[[#This Row],[Discount_%]]&gt;10,"High")</f>
        <v>High</v>
      </c>
    </row>
    <row r="30" spans="1:23" x14ac:dyDescent="0.25">
      <c r="A30">
        <v>1029</v>
      </c>
      <c r="B30" s="1">
        <v>45319</v>
      </c>
      <c r="C30" t="s">
        <v>68</v>
      </c>
      <c r="D30" t="s">
        <v>69</v>
      </c>
      <c r="E30" t="s">
        <v>52</v>
      </c>
      <c r="F30" t="s">
        <v>135</v>
      </c>
      <c r="G30" t="s">
        <v>54</v>
      </c>
      <c r="H30">
        <v>32</v>
      </c>
      <c r="I30" t="s">
        <v>55</v>
      </c>
      <c r="J30" t="s">
        <v>136</v>
      </c>
      <c r="K30">
        <v>1</v>
      </c>
      <c r="L30" s="9">
        <v>12000</v>
      </c>
      <c r="M30">
        <v>10</v>
      </c>
      <c r="N30" t="s">
        <v>57</v>
      </c>
      <c r="O30" t="s">
        <v>58</v>
      </c>
      <c r="P30" s="9">
        <v>12000</v>
      </c>
      <c r="Q30" s="9">
        <v>1200</v>
      </c>
      <c r="R30" s="9">
        <v>10800</v>
      </c>
      <c r="S30" t="s">
        <v>59</v>
      </c>
      <c r="T30" t="str">
        <f>IF(tbl_quickmart[[#This Row],[Payment_Method]]="Cash","Cash","Digital")</f>
        <v>Digital</v>
      </c>
      <c r="U30">
        <f>IF(tbl_quickmart[[#This Row],[Order_Status]]="Delivered",1,0)</f>
        <v>1</v>
      </c>
      <c r="V30" t="str">
        <f>IF(tbl_quickmart[[#This Row],[Net_Revenue]]&gt;5000,"High","Normal")</f>
        <v>High</v>
      </c>
      <c r="W30" t="str" cm="1">
        <f t="array" ref="W30">_xlfn.IFS(tbl_quickmart[[#This Row],[Discount_%]]=0,"NO Discount",AND(tbl_quickmart[[#This Row],[Discount_%]]&gt;0,tbl_quickmart[[#This Row],[Discount_%]]&lt;=10),"Low",tbl_quickmart[[#This Row],[Discount_%]]&gt;10,"High")</f>
        <v>Low</v>
      </c>
    </row>
    <row r="31" spans="1:23" x14ac:dyDescent="0.25">
      <c r="A31">
        <v>1030</v>
      </c>
      <c r="B31" s="1">
        <v>45320</v>
      </c>
      <c r="C31" t="s">
        <v>79</v>
      </c>
      <c r="D31" t="s">
        <v>80</v>
      </c>
      <c r="E31" t="s">
        <v>70</v>
      </c>
      <c r="F31" t="s">
        <v>137</v>
      </c>
      <c r="G31" t="s">
        <v>64</v>
      </c>
      <c r="H31">
        <v>30</v>
      </c>
      <c r="I31" t="s">
        <v>72</v>
      </c>
      <c r="J31" t="s">
        <v>138</v>
      </c>
      <c r="K31">
        <v>4</v>
      </c>
      <c r="L31" s="9">
        <v>250</v>
      </c>
      <c r="M31">
        <v>0</v>
      </c>
      <c r="N31" t="s">
        <v>74</v>
      </c>
      <c r="O31" t="s">
        <v>58</v>
      </c>
      <c r="P31" s="9">
        <v>1000</v>
      </c>
      <c r="Q31" s="9">
        <v>0</v>
      </c>
      <c r="R31" s="9">
        <v>1000</v>
      </c>
      <c r="S31" t="s">
        <v>59</v>
      </c>
      <c r="T31" t="str">
        <f>IF(tbl_quickmart[[#This Row],[Payment_Method]]="Cash","Cash","Digital")</f>
        <v>Cash</v>
      </c>
      <c r="U31">
        <f>IF(tbl_quickmart[[#This Row],[Order_Status]]="Delivered",1,0)</f>
        <v>1</v>
      </c>
      <c r="V31" t="str">
        <f>IF(tbl_quickmart[[#This Row],[Net_Revenue]]&gt;5000,"High","Normal")</f>
        <v>Normal</v>
      </c>
      <c r="W31" t="str" cm="1">
        <f t="array" ref="W31">_xlfn.IFS(tbl_quickmart[[#This Row],[Discount_%]]=0,"NO Discount",AND(tbl_quickmart[[#This Row],[Discount_%]]&gt;0,tbl_quickmart[[#This Row],[Discount_%]]&lt;=10),"Low",tbl_quickmart[[#This Row],[Discount_%]]&gt;10,"High")</f>
        <v>NO Discount</v>
      </c>
    </row>
    <row r="37" spans="19:19" x14ac:dyDescent="0.25">
      <c r="S37" s="8"/>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F9854-43EF-4A4E-B62F-DA66B759664C}">
  <dimension ref="A1:A32"/>
  <sheetViews>
    <sheetView workbookViewId="0">
      <selection sqref="A1:A32"/>
    </sheetView>
  </sheetViews>
  <sheetFormatPr defaultRowHeight="15" x14ac:dyDescent="0.25"/>
  <cols>
    <col min="1" max="1" width="11" customWidth="1"/>
    <col min="2" max="2" width="9.140625" customWidth="1"/>
  </cols>
  <sheetData>
    <row r="1" spans="1:1" x14ac:dyDescent="0.25">
      <c r="A1" t="s">
        <v>31</v>
      </c>
    </row>
    <row r="2" spans="1:1" x14ac:dyDescent="0.25">
      <c r="A2"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F7474B-3CAF-432B-A365-735B90E88C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Insights</vt:lpstr>
      <vt:lpstr>Analysis</vt:lpstr>
      <vt:lpstr>Pivot_City</vt:lpstr>
      <vt:lpstr>Pivot_CategoryStore</vt: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Angad Singh</dc:creator>
  <cp:lastModifiedBy>Angad Singh</cp:lastModifiedBy>
  <dcterms:created xsi:type="dcterms:W3CDTF">2026-02-16T19:32:40Z</dcterms:created>
  <dcterms:modified xsi:type="dcterms:W3CDTF">2026-02-18T09:18:27Z</dcterms:modified>
</cp:coreProperties>
</file>